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 Souto\Downloads\"/>
    </mc:Choice>
  </mc:AlternateContent>
  <xr:revisionPtr revIDLastSave="0" documentId="13_ncr:1_{8902E1BF-177A-414E-B6E1-1109C368B377}" xr6:coauthVersionLast="47" xr6:coauthVersionMax="47" xr10:uidLastSave="{00000000-0000-0000-0000-000000000000}"/>
  <bookViews>
    <workbookView xWindow="-108" yWindow="-108" windowWidth="23256" windowHeight="12456" activeTab="3" xr2:uid="{EBBE1F25-C943-4A3A-8B11-92CFB5DB310C}"/>
  </bookViews>
  <sheets>
    <sheet name="RELATORIO CONTROLADORIA" sheetId="1" r:id="rId1"/>
    <sheet name="FDT" sheetId="2" r:id="rId2"/>
    <sheet name="TABELA DE METAS" sheetId="3" r:id="rId3"/>
    <sheet name="CPF" sheetId="4" r:id="rId4"/>
  </sheets>
  <definedNames>
    <definedName name="_xlnm._FilterDatabase" localSheetId="1" hidden="1">FDT!$A$2:$G$143</definedName>
    <definedName name="_xlnm._FilterDatabase" localSheetId="0" hidden="1">'RELATORIO CONTROLADORIA'!$A$2:$O$76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F4" i="2"/>
  <c r="B4" i="2"/>
  <c r="G12" i="2"/>
  <c r="G65" i="2"/>
  <c r="G13" i="2"/>
  <c r="G69" i="2"/>
  <c r="G70" i="2"/>
  <c r="G71" i="2"/>
  <c r="G72" i="2"/>
  <c r="G73" i="2"/>
  <c r="G74" i="2"/>
  <c r="G75" i="2"/>
  <c r="G134" i="2"/>
  <c r="G132" i="2"/>
  <c r="G109" i="2"/>
  <c r="G129" i="2"/>
  <c r="G114" i="2"/>
  <c r="G33" i="2"/>
  <c r="G76" i="2"/>
  <c r="G79" i="2"/>
  <c r="G78" i="2"/>
  <c r="G117" i="2"/>
  <c r="G116" i="2"/>
  <c r="G120" i="2"/>
  <c r="G121" i="2"/>
  <c r="G122" i="2"/>
  <c r="G89" i="2"/>
  <c r="G87" i="2"/>
  <c r="G36" i="2"/>
  <c r="G94" i="2"/>
  <c r="G37" i="2"/>
  <c r="G40" i="2"/>
  <c r="G96" i="2"/>
  <c r="G45" i="2"/>
  <c r="G47" i="2"/>
  <c r="G98" i="2"/>
  <c r="G99" i="2"/>
  <c r="G14" i="2"/>
  <c r="G128" i="2"/>
  <c r="G130" i="2"/>
  <c r="G53" i="2"/>
  <c r="G66" i="2"/>
  <c r="G126" i="2"/>
  <c r="G115" i="2"/>
  <c r="G133" i="2"/>
  <c r="G123" i="2"/>
  <c r="G124" i="2"/>
  <c r="G118" i="2"/>
  <c r="G131" i="2"/>
  <c r="G119" i="2"/>
  <c r="G127" i="2"/>
  <c r="G125" i="2"/>
  <c r="G136" i="2"/>
  <c r="G104" i="2"/>
  <c r="G108" i="2"/>
  <c r="G83" i="2"/>
  <c r="G110" i="2"/>
  <c r="G102" i="2"/>
  <c r="G82" i="2"/>
  <c r="G101" i="2"/>
  <c r="G84" i="2"/>
  <c r="G86" i="2"/>
  <c r="G106" i="2"/>
  <c r="G90" i="2"/>
  <c r="G85" i="2"/>
  <c r="G97" i="2"/>
  <c r="G100" i="2"/>
  <c r="G77" i="2"/>
  <c r="G95" i="2"/>
  <c r="G81" i="2"/>
  <c r="G88" i="2"/>
  <c r="G107" i="2"/>
  <c r="G15" i="2"/>
  <c r="G7" i="2"/>
  <c r="G10" i="2"/>
  <c r="G93" i="2"/>
  <c r="G135" i="2"/>
  <c r="G16" i="2"/>
  <c r="G9" i="2"/>
  <c r="G80" i="2"/>
  <c r="G103" i="2"/>
  <c r="G92" i="2"/>
  <c r="G17" i="2"/>
  <c r="G105" i="2"/>
  <c r="G91" i="2"/>
  <c r="G18" i="2"/>
  <c r="G113" i="2"/>
  <c r="G6" i="2"/>
  <c r="G5" i="2"/>
  <c r="G111" i="2"/>
  <c r="G112" i="2"/>
  <c r="G46" i="2"/>
  <c r="G41" i="2"/>
  <c r="G49" i="2"/>
  <c r="G35" i="2"/>
  <c r="G52" i="2"/>
  <c r="G38" i="2"/>
  <c r="G34" i="2"/>
  <c r="G51" i="2"/>
  <c r="G50" i="2"/>
  <c r="G44" i="2"/>
  <c r="G54" i="2"/>
  <c r="G48" i="2"/>
  <c r="G55" i="2"/>
  <c r="G42" i="2"/>
  <c r="G39" i="2"/>
  <c r="G43" i="2"/>
  <c r="G28" i="2"/>
  <c r="G20" i="2"/>
  <c r="G31" i="2"/>
  <c r="G30" i="2"/>
  <c r="G21" i="2"/>
  <c r="G29" i="2"/>
  <c r="G32" i="2"/>
  <c r="G27" i="2"/>
  <c r="G19" i="2"/>
  <c r="G22" i="2"/>
  <c r="G23" i="2"/>
  <c r="G24" i="2"/>
  <c r="G25" i="2"/>
  <c r="G26" i="2"/>
  <c r="G68" i="2"/>
  <c r="G57" i="2"/>
  <c r="G67" i="2"/>
  <c r="G56" i="2"/>
  <c r="G58" i="2"/>
  <c r="G59" i="2"/>
  <c r="G4" i="2"/>
  <c r="G60" i="2"/>
  <c r="G61" i="2"/>
  <c r="G62" i="2"/>
  <c r="G63" i="2"/>
  <c r="G64" i="2"/>
  <c r="G8" i="2"/>
  <c r="G11" i="2"/>
  <c r="G3" i="2"/>
</calcChain>
</file>

<file path=xl/sharedStrings.xml><?xml version="1.0" encoding="utf-8"?>
<sst xmlns="http://schemas.openxmlformats.org/spreadsheetml/2006/main" count="1181" uniqueCount="321">
  <si>
    <t>COLABORADOR :</t>
  </si>
  <si>
    <t>IND. 4% DO TOTAL</t>
  </si>
  <si>
    <t>RETIRADA</t>
  </si>
  <si>
    <t>INSTALAÇÃO</t>
  </si>
  <si>
    <t>MANUTENÇÃO</t>
  </si>
  <si>
    <t>AT.</t>
  </si>
  <si>
    <t>D.U</t>
  </si>
  <si>
    <t>valor</t>
  </si>
  <si>
    <t>Resultado</t>
  </si>
  <si>
    <t>Ind. Retrabalho</t>
  </si>
  <si>
    <t>Premio</t>
  </si>
  <si>
    <t>ANTONIO CAIO DA SILVA FERREIRA</t>
  </si>
  <si>
    <t>Premio não atingido</t>
  </si>
  <si>
    <t>-</t>
  </si>
  <si>
    <t>ANTONIO EUNARDES SOUSA BRAGA</t>
  </si>
  <si>
    <t>ANTONIO FELIPE CASTRO DE OLIVEIRA</t>
  </si>
  <si>
    <t>ANTONIO RAFAEL ALEXANDRE DE SOUSA</t>
  </si>
  <si>
    <t>ANTONIO TIAGO AMANCIO DA SILVA</t>
  </si>
  <si>
    <t>ANTONIO WILSON SOARES DE SOUSA</t>
  </si>
  <si>
    <t>ARLISON DA SILVA PEREIRA</t>
  </si>
  <si>
    <t>BRENDHOWN CESAR VIANA SILVA FALCAO</t>
  </si>
  <si>
    <t>BRUNO MATIAS DA SILVA</t>
  </si>
  <si>
    <t>CARLOS HENRIQUE LINO SILVA</t>
  </si>
  <si>
    <t>CLAUDIANO CICINATO DA SILVA</t>
  </si>
  <si>
    <t>CRISLANDO SANTOS DA SILVA</t>
  </si>
  <si>
    <t>EDSON VIEIRA DE SOUSA FILHO</t>
  </si>
  <si>
    <t>EDUARDO SANTOS DA SILVA</t>
  </si>
  <si>
    <t>ELISSON PEREIRA COUTINHO NOVAIS</t>
  </si>
  <si>
    <t>EMANUEL ALBANO GOMES</t>
  </si>
  <si>
    <t>FABIO SILVESTRE BRITO</t>
  </si>
  <si>
    <t>FELIPE MARTINS DAMASCENO</t>
  </si>
  <si>
    <t>FRANCISCO CARLOS EUGENIO DO NASCIMENTO</t>
  </si>
  <si>
    <t>FRANCISCO DAS CHAGAS E SILVA ROCHA</t>
  </si>
  <si>
    <t>FRANCISCO DIEGO ALVES FERREIRA</t>
  </si>
  <si>
    <t>FRANCISCO FELIPE DE LIMA ALVES</t>
  </si>
  <si>
    <t>FRANCISCO HELIO MARINHO CUNHA NETO</t>
  </si>
  <si>
    <t>FRANCISCO JEFFERSON LAURINDO DA SILVA</t>
  </si>
  <si>
    <t>FRANCISCO LAERTE PEREIRA RODRIGUES</t>
  </si>
  <si>
    <t>GABRIEL MARTINS MUNIZ</t>
  </si>
  <si>
    <t>GEILSON DA SILVA MOURA</t>
  </si>
  <si>
    <t>GILVAN ASSUNCAO SILVA</t>
  </si>
  <si>
    <t>GLEISON VALENTIM ARAUJO</t>
  </si>
  <si>
    <t>GUTEMBERGUE OLIVEIRA</t>
  </si>
  <si>
    <t>HALLEF GUILHERME LIMA CLEMENTE SILVA</t>
  </si>
  <si>
    <t>IGOR BRUNO DE SOUZA CASTRO</t>
  </si>
  <si>
    <t>ISRAEL DOUGLAS MOURA</t>
  </si>
  <si>
    <t>ISRAEL OLIVEIRA MORAIS</t>
  </si>
  <si>
    <t>ITALO BRUSS DE SOUZA CASTRO</t>
  </si>
  <si>
    <t>ITALO XAVIER DA SILVA</t>
  </si>
  <si>
    <t>JOAO BATISTA COELHO GOMES</t>
  </si>
  <si>
    <t>JOAO PAULO DA SILVA LIMA</t>
  </si>
  <si>
    <t>JOAO PAULO GOUVEIA DA SILVA</t>
  </si>
  <si>
    <t>JONATO ARAUJO DE SOUSA</t>
  </si>
  <si>
    <t>JOSE DIOGO SOUSA ALVES</t>
  </si>
  <si>
    <t>JOSE ILDEVAM SOUSA DO NASCIMENTO</t>
  </si>
  <si>
    <t>KELTON CLEMENTE DOS SANTOS</t>
  </si>
  <si>
    <t>KELVER EDUARDO GOMES SOBRAL</t>
  </si>
  <si>
    <t>LUCAS SOUZA SILVA</t>
  </si>
  <si>
    <t>LUCIEUDO BANDEIRA ALVES FILHO</t>
  </si>
  <si>
    <t>LUIZ CARLOS MACHADO MACIEL</t>
  </si>
  <si>
    <t>LUIZ OCTAVIO ALMEIDA DA SILVA</t>
  </si>
  <si>
    <t>MAISSON FERREIRA DA SILVA</t>
  </si>
  <si>
    <t>MARCOS AURELIO DE SOUSA OLIVEIRA</t>
  </si>
  <si>
    <t>MARCOS EMANUEL COSTA HOLANDA</t>
  </si>
  <si>
    <t>MARCOS PEREIRA CARVALHO FILHO</t>
  </si>
  <si>
    <t>MILTON FERREIRA DE CASTRO</t>
  </si>
  <si>
    <t>NALVANIER DA SILVA PEREIRA</t>
  </si>
  <si>
    <t>NATAN DOS SANTOS PEREIRA</t>
  </si>
  <si>
    <t>PAULO HENRIQUE OLIVEIRA DA CUNHA</t>
  </si>
  <si>
    <t>PAULO ROBERTO ARAUJO GALVAO</t>
  </si>
  <si>
    <t>ROMARIO NOBRE DE MELO</t>
  </si>
  <si>
    <t>SAMUEL DOS SANTOS</t>
  </si>
  <si>
    <t>SERGIO MOURA PINTO</t>
  </si>
  <si>
    <t>TARCIO FRANCISCO DA SILVA</t>
  </si>
  <si>
    <t>THIAGO CASTRO DO NASCIMENTO</t>
  </si>
  <si>
    <t>THOMAS JEFFERSON ARAUJO PEREIRA</t>
  </si>
  <si>
    <t>VALDERILO FERREIRA LIMA JUNIOR</t>
  </si>
  <si>
    <t>VANIZIO PEREIRA AZEVEDO DO NASCIMENTO</t>
  </si>
  <si>
    <t>RET. COM DESCONTO</t>
  </si>
  <si>
    <t>RET.</t>
  </si>
  <si>
    <t>P.V</t>
  </si>
  <si>
    <t>D.A.</t>
  </si>
  <si>
    <t>ATESTADO</t>
  </si>
  <si>
    <t>D.C.</t>
  </si>
  <si>
    <t>MED.</t>
  </si>
  <si>
    <t>ANTONIO JEOVA RAMIRES DA COSTA SILVA</t>
  </si>
  <si>
    <t>CAIO VICTOR MONTEIRO DE OLIVEIRA</t>
  </si>
  <si>
    <t>DANILO OLIVEIRA DE SOUSA</t>
  </si>
  <si>
    <t>EVERLAN DA PENHA TOME</t>
  </si>
  <si>
    <t>FRANCISCO TIAGO PINHEIRO</t>
  </si>
  <si>
    <t>JONH PRESLEY RODRIGUES NOBRE</t>
  </si>
  <si>
    <t>JOSE EDNARDO DA SILVA DE LIMA</t>
  </si>
  <si>
    <t>LUIZ CARLOS ALVES LOPES</t>
  </si>
  <si>
    <t>WELLISON FERREIRA LIMA</t>
  </si>
  <si>
    <t>ANTONIO MARCOS LIMA DA SILVA</t>
  </si>
  <si>
    <t>MATEUS GABRIEL ROCHA</t>
  </si>
  <si>
    <t>JOSE AMAURY BORGES FILHO</t>
  </si>
  <si>
    <t>CLAYLSON MORAES DOS SANTOS</t>
  </si>
  <si>
    <t>ISMAEL JULIÃO SOARES</t>
  </si>
  <si>
    <t>ANDRE SILVA LOIOLA</t>
  </si>
  <si>
    <t>SAMUEL RIBEIRO FELISMINO</t>
  </si>
  <si>
    <t>IRINETO FERREIRA DE AGUIAR</t>
  </si>
  <si>
    <t>ANTONIO FELIPE SOARES SILVA TAVARES</t>
  </si>
  <si>
    <t>EQUIPE INTERNA</t>
  </si>
  <si>
    <t>ALAN FEITOSA DE SOUTO</t>
  </si>
  <si>
    <t>JOSE MARIA DA COSTA LEONARDO</t>
  </si>
  <si>
    <t>MAILSON FRANCISCO PEREIRA</t>
  </si>
  <si>
    <t>WILLIAM ADRIANO DANTAS</t>
  </si>
  <si>
    <t>MARCOS VICTOR LOPES MEDEIROS FONSECA</t>
  </si>
  <si>
    <t>YVINA CHAGAS ALENCAR</t>
  </si>
  <si>
    <t>FRANCISCO LUCAS SOUSA CUNHA</t>
  </si>
  <si>
    <t>RIAN KELVIN ARAUJO MOURÃO</t>
  </si>
  <si>
    <t>ELISÂNGELA BOTELHO DA ROCHA</t>
  </si>
  <si>
    <t>DJONATHA COSTA DA SILVA</t>
  </si>
  <si>
    <t>EMYLLIE CRISTINE ANDRADE CRUZ</t>
  </si>
  <si>
    <t>ITALO RIBEIRO DA SILVA</t>
  </si>
  <si>
    <t>ALEFF PEREIRA SOARES</t>
  </si>
  <si>
    <t>ANTONIO CARLOS FERREIRA DA SILVA</t>
  </si>
  <si>
    <t>ANTONIO EDUARDO TEIXEIRA CAMELO</t>
  </si>
  <si>
    <t>BRUNO MOREIRA MONTEIRO</t>
  </si>
  <si>
    <t>DAVI MEDINA DE ARAUJO</t>
  </si>
  <si>
    <t>DIEGO DA SILVA ASSUNCAO</t>
  </si>
  <si>
    <t>ELIZEU DA SILVA FERREIRA</t>
  </si>
  <si>
    <t>FRANCISCO JHONATA DA COSTA</t>
  </si>
  <si>
    <t>FRANCISCO MATHEUS PEREIRA MENDES</t>
  </si>
  <si>
    <t>JOAO ADAILSON GOMES ALBANO</t>
  </si>
  <si>
    <t>JONATHAN BRENO NOBRE DA SILVA</t>
  </si>
  <si>
    <t>JOSE HENRIQUE PEREIRA SOUSA</t>
  </si>
  <si>
    <t>JOSE WELLITON VIEIRA FELINTO</t>
  </si>
  <si>
    <t>MICHEL PLATINI CORREIA MORAIS</t>
  </si>
  <si>
    <t>VINICIUS SILVA LEARTE</t>
  </si>
  <si>
    <t>WESLLEY ALVES UCHOA</t>
  </si>
  <si>
    <t>EUGENIO JUSTINO DOMINGOS</t>
  </si>
  <si>
    <t>ANTONIO CARLOS BARBOSA DE SOUSA</t>
  </si>
  <si>
    <t>Equipe</t>
  </si>
  <si>
    <t>MISTO</t>
  </si>
  <si>
    <t>JEBnet</t>
  </si>
  <si>
    <t>MISTO COND.</t>
  </si>
  <si>
    <t>GIGA</t>
  </si>
  <si>
    <t>VANIZIO PEREIRA AZEVEDO</t>
  </si>
  <si>
    <t>COORDENADOR</t>
  </si>
  <si>
    <t>SUPERVISOR</t>
  </si>
  <si>
    <t>INTERNO</t>
  </si>
  <si>
    <t>WA.ME/55</t>
  </si>
  <si>
    <t>CONTATO WPP</t>
  </si>
  <si>
    <t>WHATSAPP</t>
  </si>
  <si>
    <t>TECNICO</t>
  </si>
  <si>
    <t>#N/A</t>
  </si>
  <si>
    <t>WILLIAM DANTAS</t>
  </si>
  <si>
    <t>MARCOS VICTOR</t>
  </si>
  <si>
    <t>ALAN SOUTO</t>
  </si>
  <si>
    <t>JOSE LEONARDO</t>
  </si>
  <si>
    <t>JEBNET</t>
  </si>
  <si>
    <t>ANTONIO CARLOS BARBOSA SOUSA</t>
  </si>
  <si>
    <t>FRANCISCO DA SILVA RODRIGUES</t>
  </si>
  <si>
    <t>FRANCISCO JOSE FREITAS NEO</t>
  </si>
  <si>
    <t>FRANCISCO RAFAEL DIAS</t>
  </si>
  <si>
    <t>FRANCISCO YURI DA COSTA MARTINS</t>
  </si>
  <si>
    <t>MAILSON FRANCISCO</t>
  </si>
  <si>
    <t>ROTEIRIZADOR PENDÊNCIA</t>
  </si>
  <si>
    <t>AGENDAMENTO PENDENCIAS</t>
  </si>
  <si>
    <t>ROTEIRIZADOR INSTALAÇÃO</t>
  </si>
  <si>
    <t>AGENDAMENTO INSTALAÇÃO</t>
  </si>
  <si>
    <t>VALOR</t>
  </si>
  <si>
    <t>META/DIA</t>
  </si>
  <si>
    <t>Premiação</t>
  </si>
  <si>
    <t>AE</t>
  </si>
  <si>
    <t>PRATA</t>
  </si>
  <si>
    <t>OURO</t>
  </si>
  <si>
    <t>PLATINA</t>
  </si>
  <si>
    <t>DIAMANTE</t>
  </si>
  <si>
    <t>PENDENCIA</t>
  </si>
  <si>
    <t>INST. COND.</t>
  </si>
  <si>
    <t>PEND. COND.</t>
  </si>
  <si>
    <t>DIAS TRABALHADOS</t>
  </si>
  <si>
    <t>ALLYSSON DA SILVA MARINHO</t>
  </si>
  <si>
    <t>ELEEONAI VIANA DA SILVA</t>
  </si>
  <si>
    <t>ALEXANDRE SANTOS GOMES</t>
  </si>
  <si>
    <t>DAVID DE SOUSA SILVA</t>
  </si>
  <si>
    <t>ELISANGELA BOTELHO DA ROCHA</t>
  </si>
  <si>
    <t>GABRIEL MUNIZ DA COSTA</t>
  </si>
  <si>
    <t>ISMAEL JULIAO SOARES</t>
  </si>
  <si>
    <t>ISRAEL ROBERTH SANTIAGO DE MENEZES</t>
  </si>
  <si>
    <t>JANIEL TEIXEIRA DE MELO</t>
  </si>
  <si>
    <t>PAULO ITALO JORGE MORAIS</t>
  </si>
  <si>
    <t>RIAN KELVIN ARAUJO MOURAO</t>
  </si>
  <si>
    <t>ROBSON BEZERRA DA SILVA</t>
  </si>
  <si>
    <t>PALMARES</t>
  </si>
  <si>
    <t>CPF</t>
  </si>
  <si>
    <t>Nome</t>
  </si>
  <si>
    <t>Matrícula</t>
  </si>
  <si>
    <t>Empresa</t>
  </si>
  <si>
    <t>Cpf</t>
  </si>
  <si>
    <t>000262</t>
  </si>
  <si>
    <t>G INFO</t>
  </si>
  <si>
    <t>646.525.643-68</t>
  </si>
  <si>
    <t/>
  </si>
  <si>
    <t>009.280.143-98</t>
  </si>
  <si>
    <t>070.863.133-94</t>
  </si>
  <si>
    <t>026.126.893-70</t>
  </si>
  <si>
    <t>112.311.524-94</t>
  </si>
  <si>
    <t>664.730.393-68</t>
  </si>
  <si>
    <t>078.114.013-71</t>
  </si>
  <si>
    <t>000115</t>
  </si>
  <si>
    <t>002.590.223-73</t>
  </si>
  <si>
    <t>000333</t>
  </si>
  <si>
    <t>045.179.853-85</t>
  </si>
  <si>
    <t>000216</t>
  </si>
  <si>
    <t>604.677.683-07</t>
  </si>
  <si>
    <t>000295</t>
  </si>
  <si>
    <t>065.966.543-38</t>
  </si>
  <si>
    <t>078.519.483-55</t>
  </si>
  <si>
    <t>000305</t>
  </si>
  <si>
    <t>625.648.953-52</t>
  </si>
  <si>
    <t>000318</t>
  </si>
  <si>
    <t>078.282.793-45</t>
  </si>
  <si>
    <t>070.629.143-39</t>
  </si>
  <si>
    <t>000343</t>
  </si>
  <si>
    <t>019.738.393-93</t>
  </si>
  <si>
    <t>075.630.503-96</t>
  </si>
  <si>
    <t>000271</t>
  </si>
  <si>
    <t>020.305.163-76</t>
  </si>
  <si>
    <t>077.115.853-06</t>
  </si>
  <si>
    <t>000217</t>
  </si>
  <si>
    <t>033.727.593-97</t>
  </si>
  <si>
    <t>891.107.223-00</t>
  </si>
  <si>
    <t>068.959.103-95</t>
  </si>
  <si>
    <t>000221</t>
  </si>
  <si>
    <t>734.146.113-68</t>
  </si>
  <si>
    <t>074.800.793-89</t>
  </si>
  <si>
    <t>000320</t>
  </si>
  <si>
    <t>074.418.063-56</t>
  </si>
  <si>
    <t>058.715.743-78</t>
  </si>
  <si>
    <t>062.780.033-50</t>
  </si>
  <si>
    <t>073.501.783-28</t>
  </si>
  <si>
    <t>034.029.363-21</t>
  </si>
  <si>
    <t>014.069.373-47</t>
  </si>
  <si>
    <t>PEDRO DA SILVA MAIA</t>
  </si>
  <si>
    <t>092.106.483-74</t>
  </si>
  <si>
    <t>619.340.993-92</t>
  </si>
  <si>
    <t>000336</t>
  </si>
  <si>
    <t>051.728.733-17</t>
  </si>
  <si>
    <t>RONALD MESQUITA DOS SANTOS</t>
  </si>
  <si>
    <t>107.099.153-81</t>
  </si>
  <si>
    <t>086.965.763-14</t>
  </si>
  <si>
    <t>000293</t>
  </si>
  <si>
    <t>082.974.113-54</t>
  </si>
  <si>
    <t>000116</t>
  </si>
  <si>
    <t>070.038.853-28</t>
  </si>
  <si>
    <t>080.135.683-00</t>
  </si>
  <si>
    <t>IFT</t>
  </si>
  <si>
    <t>068.984.563-42</t>
  </si>
  <si>
    <t>769.663.563-87</t>
  </si>
  <si>
    <t>088.824.123-26</t>
  </si>
  <si>
    <t>066.675.003-38</t>
  </si>
  <si>
    <t>880.346.903-68</t>
  </si>
  <si>
    <t>017.467.413-92</t>
  </si>
  <si>
    <t>000614</t>
  </si>
  <si>
    <t>071.005.963-94</t>
  </si>
  <si>
    <t>076.287.933-55</t>
  </si>
  <si>
    <t>072.535.953-60</t>
  </si>
  <si>
    <t>000475</t>
  </si>
  <si>
    <t>622.847.103-10</t>
  </si>
  <si>
    <t>072.308.153-04</t>
  </si>
  <si>
    <t>076.597.513-01</t>
  </si>
  <si>
    <t>075.965.843-90</t>
  </si>
  <si>
    <t>014.259.203-06</t>
  </si>
  <si>
    <t>076.250.123-52</t>
  </si>
  <si>
    <t>051.352.823-78</t>
  </si>
  <si>
    <t>008.385.843-14</t>
  </si>
  <si>
    <t>000059</t>
  </si>
  <si>
    <t>058.411.523-78</t>
  </si>
  <si>
    <t>082.775.843-00</t>
  </si>
  <si>
    <t>041.037.803-80</t>
  </si>
  <si>
    <t>633.338.113-67</t>
  </si>
  <si>
    <t>095.190.783-20</t>
  </si>
  <si>
    <t>078.961.853-26</t>
  </si>
  <si>
    <t>ITALO EMANOEL DA SILVA MARQUES</t>
  </si>
  <si>
    <t>109.862.873-00</t>
  </si>
  <si>
    <t>070.058.973-23</t>
  </si>
  <si>
    <t>001.058.623-71</t>
  </si>
  <si>
    <t>615.171.623-00</t>
  </si>
  <si>
    <t>620.856.313-55</t>
  </si>
  <si>
    <t>000038</t>
  </si>
  <si>
    <t>071.778.423-14</t>
  </si>
  <si>
    <t>067.905.283-69</t>
  </si>
  <si>
    <t>080.989.923-06</t>
  </si>
  <si>
    <t>096.369.633-55</t>
  </si>
  <si>
    <t>062.256.953-89</t>
  </si>
  <si>
    <t>087.975.463-05</t>
  </si>
  <si>
    <t>625.271.283-35</t>
  </si>
  <si>
    <t>092.783.123-63</t>
  </si>
  <si>
    <t>048.983.603-86</t>
  </si>
  <si>
    <t>VICTOR FRANCISCO DE OLIVEIRA GOMES</t>
  </si>
  <si>
    <t>097.395.243-11</t>
  </si>
  <si>
    <t>603.334.943-18</t>
  </si>
  <si>
    <t>079.951.163-30</t>
  </si>
  <si>
    <t>000602</t>
  </si>
  <si>
    <t>INFOLINK</t>
  </si>
  <si>
    <t>100.473.673-85</t>
  </si>
  <si>
    <t>PAULO ITALO JORGE DE MORAES</t>
  </si>
  <si>
    <t>000609</t>
  </si>
  <si>
    <t>071.346.433-01</t>
  </si>
  <si>
    <t>WESLEY LUCAS BRITO DA SILVA</t>
  </si>
  <si>
    <t>628.843.383-73</t>
  </si>
  <si>
    <t>TFE</t>
  </si>
  <si>
    <t>040.337.373-59</t>
  </si>
  <si>
    <t>604.548.913-69</t>
  </si>
  <si>
    <t>TWE</t>
  </si>
  <si>
    <t>013.487.253-38</t>
  </si>
  <si>
    <t>087.399.743-32</t>
  </si>
  <si>
    <t>FRANCISCO ANDERSON DA SILVA MORAIS</t>
  </si>
  <si>
    <t>Comercial</t>
  </si>
  <si>
    <t>IARLLEY OLIVEIRA ANSELMO</t>
  </si>
  <si>
    <t>Auxiliar</t>
  </si>
  <si>
    <t>Tecnico</t>
  </si>
  <si>
    <t>FALTA</t>
  </si>
  <si>
    <t>Valor</t>
  </si>
  <si>
    <t xml:space="preserve">DAVID DE SOUSA SILVA
</t>
  </si>
  <si>
    <t>ferias 17 dias</t>
  </si>
  <si>
    <t>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</si>
</sst>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6"/>
      <color rgb="FFFFFFFF"/>
      <name val="Arial"/>
      <family val="2"/>
    </font>
    <font>
      <sz val="11"/>
      <color rgb="FFFFFFFF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6"/>
      <color rgb="FF9C5700"/>
      <name val="Arial"/>
      <family val="2"/>
    </font>
    <font>
      <sz val="6"/>
      <color rgb="FF0070C0"/>
      <name val="Arial"/>
      <family val="2"/>
    </font>
    <font>
      <sz val="6"/>
      <color rgb="FF9C0006"/>
      <name val="Arial"/>
      <family val="2"/>
    </font>
    <font>
      <sz val="6"/>
      <color rgb="FF006100"/>
      <name val="Arial"/>
      <family val="2"/>
    </font>
    <font>
      <sz val="11"/>
      <color rgb="FFF4CCCC"/>
      <name val="Arial"/>
      <family val="2"/>
    </font>
    <font>
      <sz val="11"/>
      <color rgb="FFD9EAD3"/>
      <name val="Arial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8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6DFE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CE5CD"/>
        <bgColor indexed="64"/>
      </patternFill>
    </fill>
  </fills>
  <borders count="3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000000"/>
      </bottom>
      <diagonal/>
    </border>
    <border>
      <left/>
      <right style="medium">
        <color rgb="FF666666"/>
      </right>
      <top style="medium">
        <color rgb="FF666666"/>
      </top>
      <bottom style="medium">
        <color rgb="FF000000"/>
      </bottom>
      <diagonal/>
    </border>
    <border>
      <left/>
      <right/>
      <top style="medium">
        <color rgb="FF66666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15">
    <xf numFmtId="0" fontId="0" fillId="0" borderId="0" xfId="0"/>
    <xf numFmtId="0" fontId="8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8" fillId="1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wrapText="1"/>
    </xf>
    <xf numFmtId="0" fontId="1" fillId="17" borderId="1" xfId="0" applyFont="1" applyFill="1" applyBorder="1" applyAlignment="1">
      <alignment wrapText="1"/>
    </xf>
    <xf numFmtId="0" fontId="19" fillId="0" borderId="1" xfId="0" applyFont="1" applyBorder="1" applyAlignment="1">
      <alignment wrapText="1"/>
    </xf>
    <xf numFmtId="0" fontId="1" fillId="10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0" fontId="9" fillId="6" borderId="1" xfId="0" applyFont="1" applyFill="1" applyBorder="1" applyAlignment="1">
      <alignment wrapText="1"/>
    </xf>
    <xf numFmtId="0" fontId="9" fillId="6" borderId="1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wrapText="1"/>
    </xf>
    <xf numFmtId="0" fontId="20" fillId="0" borderId="6" xfId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0" fontId="1" fillId="24" borderId="6" xfId="0" applyFont="1" applyFill="1" applyBorder="1" applyAlignment="1">
      <alignment wrapText="1"/>
    </xf>
    <xf numFmtId="0" fontId="22" fillId="24" borderId="6" xfId="0" applyFont="1" applyFill="1" applyBorder="1" applyAlignment="1">
      <alignment wrapText="1"/>
    </xf>
    <xf numFmtId="0" fontId="22" fillId="25" borderId="6" xfId="0" applyFont="1" applyFill="1" applyBorder="1" applyAlignment="1">
      <alignment wrapText="1"/>
    </xf>
    <xf numFmtId="0" fontId="22" fillId="26" borderId="6" xfId="0" applyFont="1" applyFill="1" applyBorder="1" applyAlignment="1">
      <alignment wrapText="1"/>
    </xf>
    <xf numFmtId="8" fontId="1" fillId="0" borderId="6" xfId="0" applyNumberFormat="1" applyFont="1" applyBorder="1" applyAlignment="1">
      <alignment horizontal="right" wrapText="1"/>
    </xf>
    <xf numFmtId="0" fontId="1" fillId="27" borderId="6" xfId="0" applyFont="1" applyFill="1" applyBorder="1" applyAlignment="1">
      <alignment wrapText="1"/>
    </xf>
    <xf numFmtId="8" fontId="1" fillId="27" borderId="6" xfId="0" applyNumberFormat="1" applyFont="1" applyFill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22" fillId="28" borderId="6" xfId="0" applyFont="1" applyFill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9" fillId="29" borderId="6" xfId="0" applyFont="1" applyFill="1" applyBorder="1" applyAlignment="1">
      <alignment wrapText="1"/>
    </xf>
    <xf numFmtId="0" fontId="22" fillId="24" borderId="9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22" fillId="24" borderId="16" xfId="0" applyFont="1" applyFill="1" applyBorder="1" applyAlignment="1">
      <alignment horizontal="right" wrapText="1"/>
    </xf>
    <xf numFmtId="0" fontId="22" fillId="24" borderId="17" xfId="0" applyFont="1" applyFill="1" applyBorder="1" applyAlignment="1">
      <alignment horizontal="right" wrapText="1"/>
    </xf>
    <xf numFmtId="0" fontId="22" fillId="24" borderId="18" xfId="0" applyFont="1" applyFill="1" applyBorder="1" applyAlignment="1">
      <alignment horizontal="right" wrapText="1"/>
    </xf>
    <xf numFmtId="0" fontId="22" fillId="24" borderId="19" xfId="0" applyFont="1" applyFill="1" applyBorder="1" applyAlignment="1">
      <alignment horizontal="right" wrapText="1"/>
    </xf>
    <xf numFmtId="0" fontId="22" fillId="24" borderId="20" xfId="0" applyFont="1" applyFill="1" applyBorder="1" applyAlignment="1">
      <alignment horizontal="right" wrapText="1"/>
    </xf>
    <xf numFmtId="0" fontId="22" fillId="2" borderId="21" xfId="0" applyFont="1" applyFill="1" applyBorder="1" applyAlignment="1">
      <alignment horizontal="center" wrapText="1"/>
    </xf>
    <xf numFmtId="0" fontId="11" fillId="0" borderId="0" xfId="0" applyFont="1" applyBorder="1" applyAlignment="1"/>
    <xf numFmtId="0" fontId="20" fillId="2" borderId="0" xfId="1" applyFill="1" applyBorder="1" applyAlignment="1"/>
    <xf numFmtId="0" fontId="22" fillId="14" borderId="0" xfId="0" applyFont="1" applyFill="1" applyBorder="1" applyAlignment="1">
      <alignment horizontal="center"/>
    </xf>
    <xf numFmtId="0" fontId="22" fillId="19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2" fillId="22" borderId="0" xfId="0" applyFont="1" applyFill="1" applyBorder="1" applyAlignment="1">
      <alignment horizontal="center"/>
    </xf>
    <xf numFmtId="0" fontId="1" fillId="0" borderId="0" xfId="0" applyFont="1" applyBorder="1" applyAlignment="1"/>
    <xf numFmtId="0" fontId="22" fillId="21" borderId="0" xfId="0" applyFont="1" applyFill="1" applyBorder="1" applyAlignment="1">
      <alignment horizontal="center"/>
    </xf>
    <xf numFmtId="0" fontId="22" fillId="23" borderId="0" xfId="0" applyFont="1" applyFill="1" applyBorder="1" applyAlignment="1">
      <alignment horizontal="center"/>
    </xf>
    <xf numFmtId="0" fontId="22" fillId="20" borderId="0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 wrapText="1"/>
    </xf>
    <xf numFmtId="0" fontId="23" fillId="30" borderId="0" xfId="0" applyFont="1" applyFill="1"/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1" fillId="2" borderId="23" xfId="0" applyFont="1" applyFill="1" applyBorder="1" applyAlignment="1">
      <alignment wrapText="1"/>
    </xf>
    <xf numFmtId="0" fontId="2" fillId="2" borderId="24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wrapText="1"/>
    </xf>
    <xf numFmtId="10" fontId="14" fillId="11" borderId="26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8" fontId="11" fillId="0" borderId="1" xfId="0" applyNumberFormat="1" applyFont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wrapText="1"/>
    </xf>
    <xf numFmtId="10" fontId="12" fillId="8" borderId="26" xfId="0" applyNumberFormat="1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wrapText="1"/>
    </xf>
    <xf numFmtId="10" fontId="13" fillId="9" borderId="26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10" fontId="7" fillId="4" borderId="26" xfId="0" applyNumberFormat="1" applyFont="1" applyFill="1" applyBorder="1" applyAlignment="1">
      <alignment horizontal="center" vertical="center" wrapText="1"/>
    </xf>
    <xf numFmtId="10" fontId="15" fillId="12" borderId="26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wrapText="1"/>
    </xf>
    <xf numFmtId="0" fontId="1" fillId="0" borderId="27" xfId="0" applyFont="1" applyBorder="1" applyAlignment="1">
      <alignment wrapText="1"/>
    </xf>
    <xf numFmtId="0" fontId="18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center" wrapText="1"/>
    </xf>
    <xf numFmtId="0" fontId="10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2" borderId="27" xfId="0" applyFont="1" applyFill="1" applyBorder="1" applyAlignment="1">
      <alignment horizontal="center" wrapText="1"/>
    </xf>
    <xf numFmtId="0" fontId="18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vertical="center" wrapText="1"/>
    </xf>
    <xf numFmtId="0" fontId="10" fillId="31" borderId="1" xfId="0" applyFont="1" applyFill="1" applyBorder="1" applyAlignment="1">
      <alignment horizontal="center" wrapText="1"/>
    </xf>
    <xf numFmtId="8" fontId="1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9" fillId="6" borderId="29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0" fillId="15" borderId="30" xfId="0" applyFont="1" applyFill="1" applyBorder="1" applyAlignment="1">
      <alignment horizontal="center" vertical="center" wrapText="1"/>
    </xf>
    <xf numFmtId="0" fontId="10" fillId="15" borderId="28" xfId="0" applyFont="1" applyFill="1" applyBorder="1" applyAlignment="1">
      <alignment horizontal="center" vertical="center" wrapText="1"/>
    </xf>
    <xf numFmtId="0" fontId="10" fillId="15" borderId="26" xfId="0" applyFont="1" applyFill="1" applyBorder="1" applyAlignment="1">
      <alignment horizontal="center" vertical="center" wrapText="1"/>
    </xf>
    <xf numFmtId="0" fontId="18" fillId="16" borderId="30" xfId="0" applyFont="1" applyFill="1" applyBorder="1" applyAlignment="1">
      <alignment horizontal="center" vertical="center" wrapText="1"/>
    </xf>
    <xf numFmtId="0" fontId="18" fillId="16" borderId="28" xfId="0" applyFont="1" applyFill="1" applyBorder="1" applyAlignment="1">
      <alignment horizontal="center" vertical="center" wrapText="1"/>
    </xf>
    <xf numFmtId="0" fontId="18" fillId="16" borderId="2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a.me/5585" TargetMode="External"/><Relationship Id="rId1" Type="http://schemas.openxmlformats.org/officeDocument/2006/relationships/hyperlink" Target="http://wa.me/558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F93-7FD0-475D-BD8B-05AFD028EF88}">
  <dimension ref="A1:R213"/>
  <sheetViews>
    <sheetView topLeftCell="A71" zoomScale="60" zoomScaleNormal="60" workbookViewId="0">
      <selection activeCell="B86" sqref="B86"/>
    </sheetView>
  </sheetViews>
  <sheetFormatPr defaultColWidth="16.44140625" defaultRowHeight="14.4" x14ac:dyDescent="0.3"/>
  <cols>
    <col min="1" max="1" width="14.33203125" bestFit="1" customWidth="1"/>
    <col min="2" max="2" width="56.33203125" customWidth="1"/>
    <col min="3" max="3" width="44.109375" bestFit="1" customWidth="1"/>
    <col min="4" max="4" width="19.44140625" bestFit="1" customWidth="1"/>
    <col min="5" max="5" width="16" bestFit="1" customWidth="1"/>
    <col min="6" max="6" width="9.77734375" bestFit="1" customWidth="1"/>
    <col min="7" max="7" width="9.109375" bestFit="1" customWidth="1"/>
    <col min="8" max="8" width="11.21875" bestFit="1" customWidth="1"/>
    <col min="9" max="9" width="10.88671875" bestFit="1" customWidth="1"/>
    <col min="10" max="10" width="17.5546875" bestFit="1" customWidth="1"/>
    <col min="11" max="11" width="5.5546875" bestFit="1" customWidth="1"/>
    <col min="12" max="12" width="3.88671875" bestFit="1" customWidth="1"/>
    <col min="13" max="13" width="9.77734375" bestFit="1" customWidth="1"/>
    <col min="14" max="14" width="3.88671875" bestFit="1" customWidth="1"/>
    <col min="15" max="15" width="4.109375" bestFit="1" customWidth="1"/>
    <col min="16" max="16" width="5" bestFit="1" customWidth="1"/>
    <col min="17" max="17" width="11.88671875" bestFit="1" customWidth="1"/>
    <col min="18" max="18" width="18.88671875" bestFit="1" customWidth="1"/>
  </cols>
  <sheetData>
    <row r="1" spans="1:18" ht="15" thickBot="1" x14ac:dyDescent="0.35">
      <c r="A1" s="58"/>
      <c r="B1" s="59" t="s">
        <v>0</v>
      </c>
      <c r="C1" s="59" t="s">
        <v>134</v>
      </c>
      <c r="D1" s="60" t="s">
        <v>78</v>
      </c>
      <c r="E1" s="60" t="s">
        <v>1</v>
      </c>
      <c r="F1" s="61" t="s">
        <v>79</v>
      </c>
      <c r="G1" s="60" t="s">
        <v>2</v>
      </c>
      <c r="H1" s="60" t="s">
        <v>3</v>
      </c>
      <c r="I1" s="62" t="s">
        <v>4</v>
      </c>
      <c r="J1" s="63" t="s">
        <v>5</v>
      </c>
      <c r="K1" s="63" t="s">
        <v>80</v>
      </c>
      <c r="L1" s="60" t="s">
        <v>81</v>
      </c>
      <c r="M1" s="60" t="s">
        <v>82</v>
      </c>
      <c r="N1" s="60" t="s">
        <v>6</v>
      </c>
      <c r="O1" s="60" t="s">
        <v>83</v>
      </c>
      <c r="P1" s="63" t="s">
        <v>84</v>
      </c>
      <c r="Q1" s="64" t="s">
        <v>7</v>
      </c>
      <c r="R1" s="65" t="s">
        <v>8</v>
      </c>
    </row>
    <row r="2" spans="1:18" ht="15" thickBot="1" x14ac:dyDescent="0.35">
      <c r="A2" s="66" t="s">
        <v>9</v>
      </c>
      <c r="B2" s="67" t="s">
        <v>0</v>
      </c>
      <c r="C2" s="68"/>
      <c r="D2" s="69">
        <v>62</v>
      </c>
      <c r="E2" s="69">
        <v>249.8</v>
      </c>
      <c r="F2" s="69">
        <v>231</v>
      </c>
      <c r="G2" s="69">
        <v>52</v>
      </c>
      <c r="H2" s="69">
        <v>1253</v>
      </c>
      <c r="I2" s="69">
        <v>4940</v>
      </c>
      <c r="J2" s="69">
        <v>6245</v>
      </c>
      <c r="K2" s="69">
        <v>6183</v>
      </c>
      <c r="L2" s="69">
        <v>0</v>
      </c>
      <c r="M2" s="69">
        <v>0</v>
      </c>
      <c r="N2" s="69">
        <v>1459</v>
      </c>
      <c r="O2" s="69">
        <v>1649</v>
      </c>
      <c r="P2" s="69">
        <v>3.7</v>
      </c>
      <c r="Q2" s="69">
        <v>19474.099999999999</v>
      </c>
      <c r="R2" s="68"/>
    </row>
    <row r="3" spans="1:18" ht="15" thickBot="1" x14ac:dyDescent="0.35">
      <c r="A3" s="70">
        <v>6.0600000000000001E-2</v>
      </c>
      <c r="B3" s="4" t="s">
        <v>116</v>
      </c>
      <c r="C3" s="71" t="s">
        <v>3</v>
      </c>
      <c r="D3" s="72">
        <v>2</v>
      </c>
      <c r="E3" s="72">
        <v>3.96</v>
      </c>
      <c r="F3" s="73">
        <v>6</v>
      </c>
      <c r="G3" s="4"/>
      <c r="H3" s="72">
        <v>42</v>
      </c>
      <c r="I3" s="72">
        <v>57</v>
      </c>
      <c r="J3" s="72">
        <v>99</v>
      </c>
      <c r="K3" s="72">
        <v>97</v>
      </c>
      <c r="L3" s="74"/>
      <c r="M3" s="74"/>
      <c r="N3" s="75">
        <v>24</v>
      </c>
      <c r="O3" s="75">
        <v>21</v>
      </c>
      <c r="P3" s="73">
        <v>4.62</v>
      </c>
      <c r="Q3" s="76">
        <v>351.84</v>
      </c>
      <c r="R3" s="77" t="s">
        <v>10</v>
      </c>
    </row>
    <row r="4" spans="1:18" ht="15" thickBot="1" x14ac:dyDescent="0.35">
      <c r="A4" s="78">
        <v>4.1700000000000001E-2</v>
      </c>
      <c r="B4" s="4" t="s">
        <v>175</v>
      </c>
      <c r="C4" s="71" t="s">
        <v>135</v>
      </c>
      <c r="D4" s="72">
        <v>0.2</v>
      </c>
      <c r="E4" s="72">
        <v>3.84</v>
      </c>
      <c r="F4" s="73">
        <v>4</v>
      </c>
      <c r="G4" s="4"/>
      <c r="H4" s="72">
        <v>20</v>
      </c>
      <c r="I4" s="72">
        <v>76</v>
      </c>
      <c r="J4" s="72">
        <v>96</v>
      </c>
      <c r="K4" s="72">
        <v>95.8</v>
      </c>
      <c r="L4" s="74"/>
      <c r="M4" s="74"/>
      <c r="N4" s="75">
        <v>24</v>
      </c>
      <c r="O4" s="75">
        <v>23</v>
      </c>
      <c r="P4" s="73">
        <v>4.17</v>
      </c>
      <c r="Q4" s="76">
        <v>0</v>
      </c>
      <c r="R4" s="79" t="s">
        <v>12</v>
      </c>
    </row>
    <row r="5" spans="1:18" ht="15" thickBot="1" x14ac:dyDescent="0.35">
      <c r="A5" s="78">
        <v>4.8800000000000003E-2</v>
      </c>
      <c r="B5" s="4" t="s">
        <v>99</v>
      </c>
      <c r="C5" s="71" t="s">
        <v>135</v>
      </c>
      <c r="D5" s="72">
        <v>0.7</v>
      </c>
      <c r="E5" s="72">
        <v>3.28</v>
      </c>
      <c r="F5" s="73">
        <v>4</v>
      </c>
      <c r="G5" s="72">
        <v>1</v>
      </c>
      <c r="H5" s="72">
        <v>5</v>
      </c>
      <c r="I5" s="72">
        <v>76</v>
      </c>
      <c r="J5" s="72">
        <v>82</v>
      </c>
      <c r="K5" s="72">
        <v>81.3</v>
      </c>
      <c r="L5" s="74"/>
      <c r="M5" s="74"/>
      <c r="N5" s="75">
        <v>24</v>
      </c>
      <c r="O5" s="75">
        <v>22</v>
      </c>
      <c r="P5" s="73">
        <v>3.69</v>
      </c>
      <c r="Q5" s="76">
        <v>0</v>
      </c>
      <c r="R5" s="79" t="s">
        <v>12</v>
      </c>
    </row>
    <row r="6" spans="1:18" ht="15" thickBot="1" x14ac:dyDescent="0.35">
      <c r="A6" s="80">
        <v>0</v>
      </c>
      <c r="B6" s="4" t="s">
        <v>133</v>
      </c>
      <c r="C6" s="71" t="s">
        <v>136</v>
      </c>
      <c r="D6" s="72">
        <v>0</v>
      </c>
      <c r="E6" s="72">
        <v>0.04</v>
      </c>
      <c r="F6" s="81"/>
      <c r="G6" s="4"/>
      <c r="H6" s="4"/>
      <c r="I6" s="72">
        <v>1</v>
      </c>
      <c r="J6" s="72">
        <v>1</v>
      </c>
      <c r="K6" s="72">
        <v>1</v>
      </c>
      <c r="L6" s="74"/>
      <c r="M6" s="74"/>
      <c r="N6" s="74"/>
      <c r="O6" s="75">
        <v>1</v>
      </c>
      <c r="P6" s="73">
        <v>1</v>
      </c>
      <c r="Q6" s="82" t="s">
        <v>13</v>
      </c>
      <c r="R6" s="83" t="s">
        <v>13</v>
      </c>
    </row>
    <row r="7" spans="1:18" ht="15" thickBot="1" x14ac:dyDescent="0.35">
      <c r="A7" s="84">
        <v>7.5300000000000006E-2</v>
      </c>
      <c r="B7" s="4" t="s">
        <v>117</v>
      </c>
      <c r="C7" s="71" t="s">
        <v>3</v>
      </c>
      <c r="D7" s="72">
        <v>3.3</v>
      </c>
      <c r="E7" s="72">
        <v>3.72</v>
      </c>
      <c r="F7" s="73">
        <v>7</v>
      </c>
      <c r="G7" s="72">
        <v>2</v>
      </c>
      <c r="H7" s="72">
        <v>24</v>
      </c>
      <c r="I7" s="72">
        <v>67</v>
      </c>
      <c r="J7" s="72">
        <v>93</v>
      </c>
      <c r="K7" s="72">
        <v>89.7</v>
      </c>
      <c r="L7" s="74"/>
      <c r="M7" s="74"/>
      <c r="N7" s="75">
        <v>24</v>
      </c>
      <c r="O7" s="75">
        <v>20</v>
      </c>
      <c r="P7" s="73">
        <v>4.49</v>
      </c>
      <c r="Q7" s="76">
        <v>338.88</v>
      </c>
      <c r="R7" s="77" t="s">
        <v>10</v>
      </c>
    </row>
    <row r="8" spans="1:18" ht="15" thickBot="1" x14ac:dyDescent="0.35">
      <c r="A8" s="70">
        <v>5.0599999999999999E-2</v>
      </c>
      <c r="B8" s="4" t="s">
        <v>118</v>
      </c>
      <c r="C8" s="71" t="s">
        <v>135</v>
      </c>
      <c r="D8" s="72">
        <v>0.8</v>
      </c>
      <c r="E8" s="72">
        <v>3.16</v>
      </c>
      <c r="F8" s="73">
        <v>4</v>
      </c>
      <c r="G8" s="4"/>
      <c r="H8" s="72">
        <v>13</v>
      </c>
      <c r="I8" s="72">
        <v>66</v>
      </c>
      <c r="J8" s="72">
        <v>79</v>
      </c>
      <c r="K8" s="72">
        <v>78.2</v>
      </c>
      <c r="L8" s="74"/>
      <c r="M8" s="74"/>
      <c r="N8" s="75">
        <v>24</v>
      </c>
      <c r="O8" s="75">
        <v>21</v>
      </c>
      <c r="P8" s="73">
        <v>3.72</v>
      </c>
      <c r="Q8" s="76">
        <v>0</v>
      </c>
      <c r="R8" s="79" t="s">
        <v>12</v>
      </c>
    </row>
    <row r="9" spans="1:18" ht="15" thickBot="1" x14ac:dyDescent="0.35">
      <c r="A9" s="80">
        <v>0</v>
      </c>
      <c r="B9" s="4" t="s">
        <v>14</v>
      </c>
      <c r="C9" s="71" t="s">
        <v>136</v>
      </c>
      <c r="D9" s="72">
        <v>0</v>
      </c>
      <c r="E9" s="72">
        <v>3.28</v>
      </c>
      <c r="F9" s="81"/>
      <c r="G9" s="4"/>
      <c r="H9" s="4"/>
      <c r="I9" s="72">
        <v>82</v>
      </c>
      <c r="J9" s="72">
        <v>82</v>
      </c>
      <c r="K9" s="72">
        <v>82</v>
      </c>
      <c r="L9" s="74"/>
      <c r="M9" s="74"/>
      <c r="N9" s="74"/>
      <c r="O9" s="75">
        <v>25</v>
      </c>
      <c r="P9" s="73">
        <v>3.28</v>
      </c>
      <c r="Q9" s="82" t="s">
        <v>13</v>
      </c>
      <c r="R9" s="83" t="s">
        <v>13</v>
      </c>
    </row>
    <row r="10" spans="1:18" ht="15" thickBot="1" x14ac:dyDescent="0.35">
      <c r="A10" s="78">
        <v>4.0800000000000003E-2</v>
      </c>
      <c r="B10" s="4" t="s">
        <v>15</v>
      </c>
      <c r="C10" s="71" t="s">
        <v>137</v>
      </c>
      <c r="D10" s="72">
        <v>0.1</v>
      </c>
      <c r="E10" s="72">
        <v>3.92</v>
      </c>
      <c r="F10" s="73">
        <v>4</v>
      </c>
      <c r="G10" s="72">
        <v>1</v>
      </c>
      <c r="H10" s="72">
        <v>31</v>
      </c>
      <c r="I10" s="72">
        <v>66</v>
      </c>
      <c r="J10" s="72">
        <v>98</v>
      </c>
      <c r="K10" s="72">
        <v>97.9</v>
      </c>
      <c r="L10" s="74"/>
      <c r="M10" s="74"/>
      <c r="N10" s="75">
        <v>24</v>
      </c>
      <c r="O10" s="75">
        <v>23</v>
      </c>
      <c r="P10" s="73">
        <v>4.26</v>
      </c>
      <c r="Q10" s="76">
        <v>669.68</v>
      </c>
      <c r="R10" s="77" t="s">
        <v>10</v>
      </c>
    </row>
    <row r="11" spans="1:18" ht="15" thickBot="1" x14ac:dyDescent="0.35">
      <c r="A11" s="70">
        <v>5.9499999999999997E-2</v>
      </c>
      <c r="B11" s="4" t="s">
        <v>16</v>
      </c>
      <c r="C11" s="71" t="s">
        <v>135</v>
      </c>
      <c r="D11" s="72">
        <v>1.6</v>
      </c>
      <c r="E11" s="72">
        <v>3.36</v>
      </c>
      <c r="F11" s="73">
        <v>5</v>
      </c>
      <c r="G11" s="4"/>
      <c r="H11" s="72">
        <v>20</v>
      </c>
      <c r="I11" s="72">
        <v>64</v>
      </c>
      <c r="J11" s="72">
        <v>84</v>
      </c>
      <c r="K11" s="72">
        <v>82.4</v>
      </c>
      <c r="L11" s="74"/>
      <c r="M11" s="74"/>
      <c r="N11" s="75">
        <v>24</v>
      </c>
      <c r="O11" s="75">
        <v>23</v>
      </c>
      <c r="P11" s="73">
        <v>3.58</v>
      </c>
      <c r="Q11" s="76">
        <v>0</v>
      </c>
      <c r="R11" s="79" t="s">
        <v>12</v>
      </c>
    </row>
    <row r="12" spans="1:18" ht="15" thickBot="1" x14ac:dyDescent="0.35">
      <c r="A12" s="80">
        <v>0</v>
      </c>
      <c r="B12" s="4" t="s">
        <v>17</v>
      </c>
      <c r="C12" s="71" t="s">
        <v>3</v>
      </c>
      <c r="D12" s="72">
        <v>0</v>
      </c>
      <c r="E12" s="72">
        <v>0.68</v>
      </c>
      <c r="F12" s="81"/>
      <c r="G12" s="72">
        <v>2</v>
      </c>
      <c r="H12" s="72">
        <v>4</v>
      </c>
      <c r="I12" s="72">
        <v>11</v>
      </c>
      <c r="J12" s="72">
        <v>17</v>
      </c>
      <c r="K12" s="72">
        <v>17</v>
      </c>
      <c r="L12" s="74"/>
      <c r="M12" s="74"/>
      <c r="N12" s="74"/>
      <c r="O12" s="75">
        <v>21</v>
      </c>
      <c r="P12" s="73">
        <v>0.81</v>
      </c>
      <c r="Q12" s="76">
        <v>51</v>
      </c>
      <c r="R12" s="77" t="s">
        <v>10</v>
      </c>
    </row>
    <row r="13" spans="1:18" ht="15" thickBot="1" x14ac:dyDescent="0.35">
      <c r="A13" s="80">
        <v>0</v>
      </c>
      <c r="B13" s="4" t="s">
        <v>18</v>
      </c>
      <c r="C13" s="71" t="s">
        <v>136</v>
      </c>
      <c r="D13" s="72">
        <v>0</v>
      </c>
      <c r="E13" s="72">
        <v>3.96</v>
      </c>
      <c r="F13" s="81"/>
      <c r="G13" s="4"/>
      <c r="H13" s="72">
        <v>47</v>
      </c>
      <c r="I13" s="72">
        <v>52</v>
      </c>
      <c r="J13" s="72">
        <v>99</v>
      </c>
      <c r="K13" s="72">
        <v>99</v>
      </c>
      <c r="L13" s="74"/>
      <c r="M13" s="74"/>
      <c r="N13" s="74"/>
      <c r="O13" s="75">
        <v>23</v>
      </c>
      <c r="P13" s="73">
        <v>4.3</v>
      </c>
      <c r="Q13" s="82" t="s">
        <v>13</v>
      </c>
      <c r="R13" s="83" t="s">
        <v>13</v>
      </c>
    </row>
    <row r="14" spans="1:18" ht="15" thickBot="1" x14ac:dyDescent="0.35">
      <c r="A14" s="70">
        <v>5.1700000000000003E-2</v>
      </c>
      <c r="B14" s="4" t="s">
        <v>19</v>
      </c>
      <c r="C14" s="71" t="s">
        <v>135</v>
      </c>
      <c r="D14" s="72">
        <v>0.7</v>
      </c>
      <c r="E14" s="72">
        <v>2.3199999999999998</v>
      </c>
      <c r="F14" s="73">
        <v>3</v>
      </c>
      <c r="G14" s="4"/>
      <c r="H14" s="72">
        <v>7</v>
      </c>
      <c r="I14" s="72">
        <v>51</v>
      </c>
      <c r="J14" s="72">
        <v>58</v>
      </c>
      <c r="K14" s="72">
        <v>57.3</v>
      </c>
      <c r="L14" s="74"/>
      <c r="M14" s="74"/>
      <c r="N14" s="75">
        <v>24</v>
      </c>
      <c r="O14" s="75">
        <v>20</v>
      </c>
      <c r="P14" s="73">
        <v>2.87</v>
      </c>
      <c r="Q14" s="76">
        <v>0</v>
      </c>
      <c r="R14" s="79" t="s">
        <v>12</v>
      </c>
    </row>
    <row r="15" spans="1:18" ht="15" thickBot="1" x14ac:dyDescent="0.35">
      <c r="A15" s="84">
        <v>8.14E-2</v>
      </c>
      <c r="B15" s="4" t="s">
        <v>20</v>
      </c>
      <c r="C15" s="71" t="s">
        <v>137</v>
      </c>
      <c r="D15" s="72">
        <v>3.6</v>
      </c>
      <c r="E15" s="72">
        <v>3.44</v>
      </c>
      <c r="F15" s="73">
        <v>7</v>
      </c>
      <c r="G15" s="4"/>
      <c r="H15" s="72">
        <v>26</v>
      </c>
      <c r="I15" s="72">
        <v>60</v>
      </c>
      <c r="J15" s="72">
        <v>86</v>
      </c>
      <c r="K15" s="72">
        <v>82.4</v>
      </c>
      <c r="L15" s="74"/>
      <c r="M15" s="74"/>
      <c r="N15" s="75">
        <v>24</v>
      </c>
      <c r="O15" s="75">
        <v>21</v>
      </c>
      <c r="P15" s="73">
        <v>3.93</v>
      </c>
      <c r="Q15" s="76">
        <v>635.76</v>
      </c>
      <c r="R15" s="77" t="s">
        <v>10</v>
      </c>
    </row>
    <row r="16" spans="1:18" ht="15" thickBot="1" x14ac:dyDescent="0.35">
      <c r="A16" s="70">
        <v>5.5599999999999997E-2</v>
      </c>
      <c r="B16" s="4" t="s">
        <v>21</v>
      </c>
      <c r="C16" s="71" t="s">
        <v>135</v>
      </c>
      <c r="D16" s="72">
        <v>0.8</v>
      </c>
      <c r="E16" s="72">
        <v>2.16</v>
      </c>
      <c r="F16" s="73">
        <v>3</v>
      </c>
      <c r="G16" s="4"/>
      <c r="H16" s="72">
        <v>15</v>
      </c>
      <c r="I16" s="72">
        <v>39</v>
      </c>
      <c r="J16" s="72">
        <v>54</v>
      </c>
      <c r="K16" s="72">
        <v>53.2</v>
      </c>
      <c r="L16" s="74"/>
      <c r="M16" s="74"/>
      <c r="N16" s="75">
        <v>24</v>
      </c>
      <c r="O16" s="75">
        <v>20</v>
      </c>
      <c r="P16" s="73">
        <v>2.66</v>
      </c>
      <c r="Q16" s="76">
        <v>0</v>
      </c>
      <c r="R16" s="79" t="s">
        <v>12</v>
      </c>
    </row>
    <row r="17" spans="1:18" ht="15" thickBot="1" x14ac:dyDescent="0.35">
      <c r="A17" s="85">
        <v>1.54E-2</v>
      </c>
      <c r="B17" s="4" t="s">
        <v>86</v>
      </c>
      <c r="C17" s="71" t="s">
        <v>135</v>
      </c>
      <c r="D17" s="72">
        <v>0</v>
      </c>
      <c r="E17" s="72">
        <v>2.6</v>
      </c>
      <c r="F17" s="73">
        <v>1</v>
      </c>
      <c r="G17" s="4"/>
      <c r="H17" s="72">
        <v>9</v>
      </c>
      <c r="I17" s="72">
        <v>56</v>
      </c>
      <c r="J17" s="72">
        <v>65</v>
      </c>
      <c r="K17" s="72">
        <v>65</v>
      </c>
      <c r="L17" s="74"/>
      <c r="M17" s="74"/>
      <c r="N17" s="75">
        <v>24</v>
      </c>
      <c r="O17" s="75">
        <v>21</v>
      </c>
      <c r="P17" s="73">
        <v>3.1</v>
      </c>
      <c r="Q17" s="76">
        <v>0</v>
      </c>
      <c r="R17" s="79" t="s">
        <v>12</v>
      </c>
    </row>
    <row r="18" spans="1:18" ht="15" thickBot="1" x14ac:dyDescent="0.35">
      <c r="A18" s="84">
        <v>0.10199999999999999</v>
      </c>
      <c r="B18" s="4" t="s">
        <v>22</v>
      </c>
      <c r="C18" s="71" t="s">
        <v>137</v>
      </c>
      <c r="D18" s="72">
        <v>6.1</v>
      </c>
      <c r="E18" s="72">
        <v>3.92</v>
      </c>
      <c r="F18" s="73">
        <v>10</v>
      </c>
      <c r="G18" s="4"/>
      <c r="H18" s="72">
        <v>20</v>
      </c>
      <c r="I18" s="72">
        <v>78</v>
      </c>
      <c r="J18" s="72">
        <v>98</v>
      </c>
      <c r="K18" s="72">
        <v>91.9</v>
      </c>
      <c r="L18" s="74"/>
      <c r="M18" s="74"/>
      <c r="N18" s="75">
        <v>24</v>
      </c>
      <c r="O18" s="75">
        <v>19</v>
      </c>
      <c r="P18" s="73">
        <v>4.84</v>
      </c>
      <c r="Q18" s="76">
        <v>938.52</v>
      </c>
      <c r="R18" s="77" t="s">
        <v>10</v>
      </c>
    </row>
    <row r="19" spans="1:18" ht="15" thickBot="1" x14ac:dyDescent="0.35">
      <c r="A19" s="70">
        <v>6.4500000000000002E-2</v>
      </c>
      <c r="B19" s="4" t="s">
        <v>23</v>
      </c>
      <c r="C19" s="71" t="s">
        <v>3</v>
      </c>
      <c r="D19" s="72">
        <v>1.5</v>
      </c>
      <c r="E19" s="72">
        <v>2.48</v>
      </c>
      <c r="F19" s="73">
        <v>4</v>
      </c>
      <c r="G19" s="4"/>
      <c r="H19" s="72">
        <v>2</v>
      </c>
      <c r="I19" s="72">
        <v>60</v>
      </c>
      <c r="J19" s="72">
        <v>62</v>
      </c>
      <c r="K19" s="72">
        <v>60.5</v>
      </c>
      <c r="L19" s="74"/>
      <c r="M19" s="74"/>
      <c r="N19" s="75">
        <v>24</v>
      </c>
      <c r="O19" s="75">
        <v>15</v>
      </c>
      <c r="P19" s="73">
        <v>4.03</v>
      </c>
      <c r="Q19" s="76">
        <v>301.92</v>
      </c>
      <c r="R19" s="77" t="s">
        <v>10</v>
      </c>
    </row>
    <row r="20" spans="1:18" ht="15" thickBot="1" x14ac:dyDescent="0.35">
      <c r="A20" s="85">
        <v>1.89E-2</v>
      </c>
      <c r="B20" s="4" t="s">
        <v>87</v>
      </c>
      <c r="C20" s="71" t="s">
        <v>135</v>
      </c>
      <c r="D20" s="72">
        <v>0</v>
      </c>
      <c r="E20" s="72">
        <v>2.12</v>
      </c>
      <c r="F20" s="73">
        <v>1</v>
      </c>
      <c r="G20" s="72">
        <v>1</v>
      </c>
      <c r="H20" s="72">
        <v>9</v>
      </c>
      <c r="I20" s="72">
        <v>43</v>
      </c>
      <c r="J20" s="72">
        <v>53</v>
      </c>
      <c r="K20" s="72">
        <v>53</v>
      </c>
      <c r="L20" s="74"/>
      <c r="M20" s="74"/>
      <c r="N20" s="74"/>
      <c r="O20" s="75">
        <v>23</v>
      </c>
      <c r="P20" s="73">
        <v>2.2999999999999998</v>
      </c>
      <c r="Q20" s="76">
        <v>0</v>
      </c>
      <c r="R20" s="79" t="s">
        <v>12</v>
      </c>
    </row>
    <row r="21" spans="1:18" ht="15" thickBot="1" x14ac:dyDescent="0.35">
      <c r="A21" s="78">
        <v>3.2599999999999997E-2</v>
      </c>
      <c r="B21" s="4" t="s">
        <v>120</v>
      </c>
      <c r="C21" s="71" t="s">
        <v>3</v>
      </c>
      <c r="D21" s="72">
        <v>0</v>
      </c>
      <c r="E21" s="72">
        <v>3.68</v>
      </c>
      <c r="F21" s="73">
        <v>3</v>
      </c>
      <c r="G21" s="4"/>
      <c r="H21" s="72">
        <v>15</v>
      </c>
      <c r="I21" s="72">
        <v>77</v>
      </c>
      <c r="J21" s="72">
        <v>92</v>
      </c>
      <c r="K21" s="72">
        <v>92</v>
      </c>
      <c r="L21" s="74"/>
      <c r="M21" s="74"/>
      <c r="N21" s="75">
        <v>24</v>
      </c>
      <c r="O21" s="75">
        <v>20</v>
      </c>
      <c r="P21" s="73">
        <v>4.5999999999999996</v>
      </c>
      <c r="Q21" s="76">
        <v>348</v>
      </c>
      <c r="R21" s="77" t="s">
        <v>10</v>
      </c>
    </row>
    <row r="22" spans="1:18" ht="15" thickBot="1" x14ac:dyDescent="0.35">
      <c r="A22" s="70">
        <v>6.3500000000000001E-2</v>
      </c>
      <c r="B22" s="4" t="s">
        <v>121</v>
      </c>
      <c r="C22" s="71" t="s">
        <v>135</v>
      </c>
      <c r="D22" s="72">
        <v>1.5</v>
      </c>
      <c r="E22" s="72">
        <v>2.52</v>
      </c>
      <c r="F22" s="73">
        <v>4</v>
      </c>
      <c r="G22" s="72">
        <v>1</v>
      </c>
      <c r="H22" s="72">
        <v>12</v>
      </c>
      <c r="I22" s="72">
        <v>50</v>
      </c>
      <c r="J22" s="72">
        <v>63</v>
      </c>
      <c r="K22" s="72">
        <v>61.5</v>
      </c>
      <c r="L22" s="74"/>
      <c r="M22" s="74"/>
      <c r="N22" s="74"/>
      <c r="O22" s="75">
        <v>23</v>
      </c>
      <c r="P22" s="73">
        <v>2.67</v>
      </c>
      <c r="Q22" s="76">
        <v>0</v>
      </c>
      <c r="R22" s="79" t="s">
        <v>12</v>
      </c>
    </row>
    <row r="23" spans="1:18" ht="15" thickBot="1" x14ac:dyDescent="0.35">
      <c r="A23" s="78">
        <v>3.6999999999999998E-2</v>
      </c>
      <c r="B23" s="4" t="s">
        <v>26</v>
      </c>
      <c r="C23" s="71" t="s">
        <v>138</v>
      </c>
      <c r="D23" s="72">
        <v>0</v>
      </c>
      <c r="E23" s="72">
        <v>1.08</v>
      </c>
      <c r="F23" s="73">
        <v>1</v>
      </c>
      <c r="G23" s="4"/>
      <c r="H23" s="72">
        <v>3</v>
      </c>
      <c r="I23" s="72">
        <v>24</v>
      </c>
      <c r="J23" s="72">
        <v>27</v>
      </c>
      <c r="K23" s="72">
        <v>27</v>
      </c>
      <c r="L23" s="74"/>
      <c r="M23" s="74"/>
      <c r="N23" s="74"/>
      <c r="O23" s="75">
        <v>23</v>
      </c>
      <c r="P23" s="73">
        <v>1.17</v>
      </c>
      <c r="Q23" s="76">
        <v>273.68</v>
      </c>
      <c r="R23" s="77" t="s">
        <v>10</v>
      </c>
    </row>
    <row r="24" spans="1:18" ht="15" thickBot="1" x14ac:dyDescent="0.35">
      <c r="A24" s="78">
        <v>4.1700000000000001E-2</v>
      </c>
      <c r="B24" s="4" t="s">
        <v>27</v>
      </c>
      <c r="C24" s="71" t="s">
        <v>137</v>
      </c>
      <c r="D24" s="72">
        <v>0.2</v>
      </c>
      <c r="E24" s="72">
        <v>3.84</v>
      </c>
      <c r="F24" s="73">
        <v>4</v>
      </c>
      <c r="G24" s="4"/>
      <c r="H24" s="72">
        <v>23</v>
      </c>
      <c r="I24" s="72">
        <v>73</v>
      </c>
      <c r="J24" s="72">
        <v>96</v>
      </c>
      <c r="K24" s="72">
        <v>95.8</v>
      </c>
      <c r="L24" s="74"/>
      <c r="M24" s="74"/>
      <c r="N24" s="75">
        <v>24</v>
      </c>
      <c r="O24" s="75">
        <v>24</v>
      </c>
      <c r="P24" s="73">
        <v>3.99</v>
      </c>
      <c r="Q24" s="76">
        <v>647.36</v>
      </c>
      <c r="R24" s="77" t="s">
        <v>10</v>
      </c>
    </row>
    <row r="25" spans="1:18" ht="15" thickBot="1" x14ac:dyDescent="0.35">
      <c r="A25" s="84">
        <v>8.8599999999999998E-2</v>
      </c>
      <c r="B25" s="4" t="s">
        <v>122</v>
      </c>
      <c r="C25" s="71" t="s">
        <v>3</v>
      </c>
      <c r="D25" s="72">
        <v>3.8</v>
      </c>
      <c r="E25" s="72">
        <v>3.16</v>
      </c>
      <c r="F25" s="73">
        <v>7</v>
      </c>
      <c r="G25" s="4"/>
      <c r="H25" s="72">
        <v>11</v>
      </c>
      <c r="I25" s="72">
        <v>68</v>
      </c>
      <c r="J25" s="72">
        <v>79</v>
      </c>
      <c r="K25" s="72">
        <v>75.2</v>
      </c>
      <c r="L25" s="74"/>
      <c r="M25" s="74"/>
      <c r="N25" s="75">
        <v>24</v>
      </c>
      <c r="O25" s="75">
        <v>23</v>
      </c>
      <c r="P25" s="73">
        <v>3.27</v>
      </c>
      <c r="Q25" s="76">
        <v>225.48</v>
      </c>
      <c r="R25" s="77" t="s">
        <v>10</v>
      </c>
    </row>
    <row r="26" spans="1:18" ht="15" thickBot="1" x14ac:dyDescent="0.35">
      <c r="A26" s="85">
        <v>1.12E-2</v>
      </c>
      <c r="B26" s="4" t="s">
        <v>88</v>
      </c>
      <c r="C26" s="71" t="s">
        <v>135</v>
      </c>
      <c r="D26" s="72">
        <v>0</v>
      </c>
      <c r="E26" s="72">
        <v>3.56</v>
      </c>
      <c r="F26" s="73">
        <v>1</v>
      </c>
      <c r="G26" s="4"/>
      <c r="H26" s="72">
        <v>11</v>
      </c>
      <c r="I26" s="72">
        <v>78</v>
      </c>
      <c r="J26" s="72">
        <v>89</v>
      </c>
      <c r="K26" s="72">
        <v>89</v>
      </c>
      <c r="L26" s="74"/>
      <c r="M26" s="74"/>
      <c r="N26" s="75">
        <v>24</v>
      </c>
      <c r="O26" s="75">
        <v>20</v>
      </c>
      <c r="P26" s="73">
        <v>4.45</v>
      </c>
      <c r="Q26" s="76">
        <v>0</v>
      </c>
      <c r="R26" s="79" t="s">
        <v>12</v>
      </c>
    </row>
    <row r="27" spans="1:18" ht="15" thickBot="1" x14ac:dyDescent="0.35">
      <c r="A27" s="85">
        <v>0.02</v>
      </c>
      <c r="B27" s="4" t="s">
        <v>30</v>
      </c>
      <c r="C27" s="71" t="s">
        <v>3</v>
      </c>
      <c r="D27" s="72">
        <v>0</v>
      </c>
      <c r="E27" s="72">
        <v>2</v>
      </c>
      <c r="F27" s="73">
        <v>1</v>
      </c>
      <c r="G27" s="4"/>
      <c r="H27" s="72">
        <v>19</v>
      </c>
      <c r="I27" s="72">
        <v>31</v>
      </c>
      <c r="J27" s="72">
        <v>50</v>
      </c>
      <c r="K27" s="72">
        <v>50</v>
      </c>
      <c r="L27" s="74"/>
      <c r="M27" s="74"/>
      <c r="N27" s="75">
        <v>24</v>
      </c>
      <c r="O27" s="75">
        <v>20</v>
      </c>
      <c r="P27" s="73">
        <v>2.5</v>
      </c>
      <c r="Q27" s="76">
        <v>150</v>
      </c>
      <c r="R27" s="77" t="s">
        <v>10</v>
      </c>
    </row>
    <row r="28" spans="1:18" ht="15" thickBot="1" x14ac:dyDescent="0.35">
      <c r="A28" s="80">
        <v>0</v>
      </c>
      <c r="B28" s="4" t="s">
        <v>311</v>
      </c>
      <c r="C28" s="71" t="s">
        <v>312</v>
      </c>
      <c r="D28" s="72">
        <v>0</v>
      </c>
      <c r="E28" s="72">
        <v>0.32</v>
      </c>
      <c r="F28" s="81"/>
      <c r="G28" s="4"/>
      <c r="H28" s="72">
        <v>8</v>
      </c>
      <c r="I28" s="4"/>
      <c r="J28" s="72">
        <v>8</v>
      </c>
      <c r="K28" s="72">
        <v>8</v>
      </c>
      <c r="L28" s="74"/>
      <c r="M28" s="74"/>
      <c r="N28" s="74"/>
      <c r="O28" s="75">
        <v>21</v>
      </c>
      <c r="P28" s="73">
        <v>0.38</v>
      </c>
      <c r="Q28" s="82" t="s">
        <v>13</v>
      </c>
      <c r="R28" s="83" t="s">
        <v>13</v>
      </c>
    </row>
    <row r="29" spans="1:18" ht="15" thickBot="1" x14ac:dyDescent="0.35">
      <c r="A29" s="78">
        <v>4.1099999999999998E-2</v>
      </c>
      <c r="B29" s="4" t="s">
        <v>31</v>
      </c>
      <c r="C29" s="71" t="s">
        <v>135</v>
      </c>
      <c r="D29" s="72">
        <v>0.1</v>
      </c>
      <c r="E29" s="72">
        <v>2.92</v>
      </c>
      <c r="F29" s="73">
        <v>3</v>
      </c>
      <c r="G29" s="4"/>
      <c r="H29" s="72">
        <v>15</v>
      </c>
      <c r="I29" s="72">
        <v>58</v>
      </c>
      <c r="J29" s="72">
        <v>73</v>
      </c>
      <c r="K29" s="72">
        <v>72.900000000000006</v>
      </c>
      <c r="L29" s="74"/>
      <c r="M29" s="74"/>
      <c r="N29" s="75">
        <v>24</v>
      </c>
      <c r="O29" s="75">
        <v>23</v>
      </c>
      <c r="P29" s="73">
        <v>3.17</v>
      </c>
      <c r="Q29" s="76">
        <v>0</v>
      </c>
      <c r="R29" s="79" t="s">
        <v>12</v>
      </c>
    </row>
    <row r="30" spans="1:18" ht="15" thickBot="1" x14ac:dyDescent="0.35">
      <c r="A30" s="85">
        <v>1.43E-2</v>
      </c>
      <c r="B30" s="4" t="s">
        <v>32</v>
      </c>
      <c r="C30" s="71" t="s">
        <v>3</v>
      </c>
      <c r="D30" s="72">
        <v>0</v>
      </c>
      <c r="E30" s="72">
        <v>2.8</v>
      </c>
      <c r="F30" s="73">
        <v>1</v>
      </c>
      <c r="G30" s="72">
        <v>1</v>
      </c>
      <c r="H30" s="72">
        <v>8</v>
      </c>
      <c r="I30" s="72">
        <v>61</v>
      </c>
      <c r="J30" s="72">
        <v>70</v>
      </c>
      <c r="K30" s="72">
        <v>70</v>
      </c>
      <c r="L30" s="74"/>
      <c r="M30" s="74"/>
      <c r="N30" s="75">
        <v>24</v>
      </c>
      <c r="O30" s="75">
        <v>23</v>
      </c>
      <c r="P30" s="73">
        <v>3.04</v>
      </c>
      <c r="Q30" s="76">
        <v>210</v>
      </c>
      <c r="R30" s="77" t="s">
        <v>10</v>
      </c>
    </row>
    <row r="31" spans="1:18" ht="15" thickBot="1" x14ac:dyDescent="0.35">
      <c r="A31" s="85">
        <v>1.6400000000000001E-2</v>
      </c>
      <c r="B31" s="4" t="s">
        <v>33</v>
      </c>
      <c r="C31" s="71" t="s">
        <v>3</v>
      </c>
      <c r="D31" s="72">
        <v>0</v>
      </c>
      <c r="E31" s="72">
        <v>4.88</v>
      </c>
      <c r="F31" s="73">
        <v>2</v>
      </c>
      <c r="G31" s="4"/>
      <c r="H31" s="72">
        <v>48</v>
      </c>
      <c r="I31" s="72">
        <v>74</v>
      </c>
      <c r="J31" s="72">
        <v>122</v>
      </c>
      <c r="K31" s="72">
        <v>122</v>
      </c>
      <c r="L31" s="74"/>
      <c r="M31" s="74"/>
      <c r="N31" s="75">
        <v>24</v>
      </c>
      <c r="O31" s="75">
        <v>23</v>
      </c>
      <c r="P31" s="73">
        <v>5.3</v>
      </c>
      <c r="Q31" s="76">
        <v>642</v>
      </c>
      <c r="R31" s="77" t="s">
        <v>10</v>
      </c>
    </row>
    <row r="32" spans="1:18" ht="15" thickBot="1" x14ac:dyDescent="0.35">
      <c r="A32" s="85">
        <v>1.8700000000000001E-2</v>
      </c>
      <c r="B32" s="4" t="s">
        <v>34</v>
      </c>
      <c r="C32" s="71" t="s">
        <v>135</v>
      </c>
      <c r="D32" s="72">
        <v>0</v>
      </c>
      <c r="E32" s="72">
        <v>4.28</v>
      </c>
      <c r="F32" s="73">
        <v>2</v>
      </c>
      <c r="G32" s="72">
        <v>2</v>
      </c>
      <c r="H32" s="72">
        <v>11</v>
      </c>
      <c r="I32" s="72">
        <v>94</v>
      </c>
      <c r="J32" s="72">
        <v>107</v>
      </c>
      <c r="K32" s="72">
        <v>107</v>
      </c>
      <c r="L32" s="74"/>
      <c r="M32" s="74"/>
      <c r="N32" s="75">
        <v>24</v>
      </c>
      <c r="O32" s="75">
        <v>23</v>
      </c>
      <c r="P32" s="73">
        <v>4.6500000000000004</v>
      </c>
      <c r="Q32" s="76">
        <v>0</v>
      </c>
      <c r="R32" s="79" t="s">
        <v>12</v>
      </c>
    </row>
    <row r="33" spans="1:18" ht="15" thickBot="1" x14ac:dyDescent="0.35">
      <c r="A33" s="80">
        <v>7.9000000000000008E-3</v>
      </c>
      <c r="B33" s="4" t="s">
        <v>35</v>
      </c>
      <c r="C33" s="71" t="s">
        <v>3</v>
      </c>
      <c r="D33" s="72">
        <v>0</v>
      </c>
      <c r="E33" s="72">
        <v>5.08</v>
      </c>
      <c r="F33" s="73">
        <v>1</v>
      </c>
      <c r="G33" s="72">
        <v>2</v>
      </c>
      <c r="H33" s="72">
        <v>16</v>
      </c>
      <c r="I33" s="72">
        <v>109</v>
      </c>
      <c r="J33" s="72">
        <v>127</v>
      </c>
      <c r="K33" s="72">
        <v>127</v>
      </c>
      <c r="L33" s="74"/>
      <c r="M33" s="74"/>
      <c r="N33" s="75">
        <v>24</v>
      </c>
      <c r="O33" s="75">
        <v>22</v>
      </c>
      <c r="P33" s="73">
        <v>5.77</v>
      </c>
      <c r="Q33" s="76">
        <v>702</v>
      </c>
      <c r="R33" s="77" t="s">
        <v>10</v>
      </c>
    </row>
    <row r="34" spans="1:18" ht="15" thickBot="1" x14ac:dyDescent="0.35">
      <c r="A34" s="78">
        <v>3.5299999999999998E-2</v>
      </c>
      <c r="B34" s="4" t="s">
        <v>123</v>
      </c>
      <c r="C34" s="71" t="s">
        <v>135</v>
      </c>
      <c r="D34" s="72">
        <v>0</v>
      </c>
      <c r="E34" s="72">
        <v>3.4</v>
      </c>
      <c r="F34" s="73">
        <v>3</v>
      </c>
      <c r="G34" s="4"/>
      <c r="H34" s="72">
        <v>13</v>
      </c>
      <c r="I34" s="72">
        <v>72</v>
      </c>
      <c r="J34" s="72">
        <v>85</v>
      </c>
      <c r="K34" s="72">
        <v>85</v>
      </c>
      <c r="L34" s="74"/>
      <c r="M34" s="74"/>
      <c r="N34" s="75">
        <v>24</v>
      </c>
      <c r="O34" s="75">
        <v>23</v>
      </c>
      <c r="P34" s="73">
        <v>3.7</v>
      </c>
      <c r="Q34" s="76">
        <v>0</v>
      </c>
      <c r="R34" s="79" t="s">
        <v>12</v>
      </c>
    </row>
    <row r="35" spans="1:18" ht="15" thickBot="1" x14ac:dyDescent="0.35">
      <c r="A35" s="78">
        <v>4.1700000000000001E-2</v>
      </c>
      <c r="B35" s="4" t="s">
        <v>37</v>
      </c>
      <c r="C35" s="71" t="s">
        <v>13</v>
      </c>
      <c r="D35" s="72">
        <v>0</v>
      </c>
      <c r="E35" s="72">
        <v>0.96</v>
      </c>
      <c r="F35" s="73">
        <v>1</v>
      </c>
      <c r="G35" s="72">
        <v>1</v>
      </c>
      <c r="H35" s="72">
        <v>7</v>
      </c>
      <c r="I35" s="72">
        <v>16</v>
      </c>
      <c r="J35" s="72">
        <v>24</v>
      </c>
      <c r="K35" s="72">
        <v>24</v>
      </c>
      <c r="L35" s="74"/>
      <c r="M35" s="74"/>
      <c r="N35" s="75">
        <v>24</v>
      </c>
      <c r="O35" s="75">
        <v>24</v>
      </c>
      <c r="P35" s="73">
        <v>1</v>
      </c>
      <c r="Q35" s="82" t="s">
        <v>13</v>
      </c>
      <c r="R35" s="83" t="s">
        <v>13</v>
      </c>
    </row>
    <row r="36" spans="1:18" ht="15" thickBot="1" x14ac:dyDescent="0.35">
      <c r="A36" s="70">
        <v>6.0600000000000001E-2</v>
      </c>
      <c r="B36" s="4" t="s">
        <v>124</v>
      </c>
      <c r="C36" s="71" t="s">
        <v>3</v>
      </c>
      <c r="D36" s="72">
        <v>2</v>
      </c>
      <c r="E36" s="72">
        <v>3.96</v>
      </c>
      <c r="F36" s="73">
        <v>6</v>
      </c>
      <c r="G36" s="4"/>
      <c r="H36" s="72">
        <v>13</v>
      </c>
      <c r="I36" s="72">
        <v>86</v>
      </c>
      <c r="J36" s="72">
        <v>99</v>
      </c>
      <c r="K36" s="72">
        <v>97</v>
      </c>
      <c r="L36" s="74"/>
      <c r="M36" s="74"/>
      <c r="N36" s="75">
        <v>24</v>
      </c>
      <c r="O36" s="75">
        <v>23</v>
      </c>
      <c r="P36" s="73">
        <v>4.22</v>
      </c>
      <c r="Q36" s="76">
        <v>319.83999999999997</v>
      </c>
      <c r="R36" s="77" t="s">
        <v>10</v>
      </c>
    </row>
    <row r="37" spans="1:18" ht="15" thickBot="1" x14ac:dyDescent="0.35">
      <c r="A37" s="85">
        <v>2.2700000000000001E-2</v>
      </c>
      <c r="B37" s="4" t="s">
        <v>89</v>
      </c>
      <c r="C37" s="71" t="s">
        <v>135</v>
      </c>
      <c r="D37" s="72">
        <v>0</v>
      </c>
      <c r="E37" s="72">
        <v>3.52</v>
      </c>
      <c r="F37" s="73">
        <v>2</v>
      </c>
      <c r="G37" s="4"/>
      <c r="H37" s="72">
        <v>9</v>
      </c>
      <c r="I37" s="72">
        <v>79</v>
      </c>
      <c r="J37" s="72">
        <v>88</v>
      </c>
      <c r="K37" s="72">
        <v>88</v>
      </c>
      <c r="L37" s="74"/>
      <c r="M37" s="74"/>
      <c r="N37" s="75">
        <v>24</v>
      </c>
      <c r="O37" s="75">
        <v>22</v>
      </c>
      <c r="P37" s="73">
        <v>4</v>
      </c>
      <c r="Q37" s="76">
        <v>0</v>
      </c>
      <c r="R37" s="79" t="s">
        <v>12</v>
      </c>
    </row>
    <row r="38" spans="1:18" ht="15" thickBot="1" x14ac:dyDescent="0.35">
      <c r="A38" s="85">
        <v>1.4800000000000001E-2</v>
      </c>
      <c r="B38" s="4" t="s">
        <v>38</v>
      </c>
      <c r="C38" s="71" t="s">
        <v>3</v>
      </c>
      <c r="D38" s="72">
        <v>0</v>
      </c>
      <c r="E38" s="72">
        <v>5.4</v>
      </c>
      <c r="F38" s="73">
        <v>2</v>
      </c>
      <c r="G38" s="72">
        <v>4</v>
      </c>
      <c r="H38" s="72">
        <v>63</v>
      </c>
      <c r="I38" s="72">
        <v>68</v>
      </c>
      <c r="J38" s="72">
        <v>135</v>
      </c>
      <c r="K38" s="72">
        <v>135</v>
      </c>
      <c r="L38" s="74"/>
      <c r="M38" s="74"/>
      <c r="N38" s="75">
        <v>24</v>
      </c>
      <c r="O38" s="75">
        <v>18</v>
      </c>
      <c r="P38" s="73">
        <v>7.5</v>
      </c>
      <c r="Q38" s="76">
        <v>1290</v>
      </c>
      <c r="R38" s="77" t="s">
        <v>10</v>
      </c>
    </row>
    <row r="39" spans="1:18" ht="15" thickBot="1" x14ac:dyDescent="0.35">
      <c r="A39" s="85">
        <v>1.4800000000000001E-2</v>
      </c>
      <c r="B39" s="4" t="s">
        <v>39</v>
      </c>
      <c r="C39" s="71" t="s">
        <v>137</v>
      </c>
      <c r="D39" s="72">
        <v>0</v>
      </c>
      <c r="E39" s="72">
        <v>5.4</v>
      </c>
      <c r="F39" s="73">
        <v>2</v>
      </c>
      <c r="G39" s="72">
        <v>9</v>
      </c>
      <c r="H39" s="72">
        <v>35</v>
      </c>
      <c r="I39" s="72">
        <v>91</v>
      </c>
      <c r="J39" s="72">
        <v>135</v>
      </c>
      <c r="K39" s="72">
        <v>135</v>
      </c>
      <c r="L39" s="74"/>
      <c r="M39" s="74"/>
      <c r="N39" s="75">
        <v>24</v>
      </c>
      <c r="O39" s="75">
        <v>24</v>
      </c>
      <c r="P39" s="73">
        <v>5.63</v>
      </c>
      <c r="Q39" s="76">
        <v>1224</v>
      </c>
      <c r="R39" s="77" t="s">
        <v>10</v>
      </c>
    </row>
    <row r="40" spans="1:18" ht="15" thickBot="1" x14ac:dyDescent="0.35">
      <c r="A40" s="85">
        <v>2.29E-2</v>
      </c>
      <c r="B40" s="4" t="s">
        <v>40</v>
      </c>
      <c r="C40" s="71" t="s">
        <v>135</v>
      </c>
      <c r="D40" s="72">
        <v>0</v>
      </c>
      <c r="E40" s="72">
        <v>5.24</v>
      </c>
      <c r="F40" s="73">
        <v>3</v>
      </c>
      <c r="G40" s="4"/>
      <c r="H40" s="72">
        <v>14</v>
      </c>
      <c r="I40" s="72">
        <v>117</v>
      </c>
      <c r="J40" s="72">
        <v>131</v>
      </c>
      <c r="K40" s="72">
        <v>131</v>
      </c>
      <c r="L40" s="74"/>
      <c r="M40" s="74"/>
      <c r="N40" s="75">
        <v>24</v>
      </c>
      <c r="O40" s="75">
        <v>16</v>
      </c>
      <c r="P40" s="73">
        <v>8.19</v>
      </c>
      <c r="Q40" s="76">
        <v>1230</v>
      </c>
      <c r="R40" s="77" t="s">
        <v>10</v>
      </c>
    </row>
    <row r="41" spans="1:18" ht="15" thickBot="1" x14ac:dyDescent="0.35">
      <c r="A41" s="85">
        <v>2.0799999999999999E-2</v>
      </c>
      <c r="B41" s="4" t="s">
        <v>41</v>
      </c>
      <c r="C41" s="71" t="s">
        <v>137</v>
      </c>
      <c r="D41" s="72">
        <v>0</v>
      </c>
      <c r="E41" s="72">
        <v>3.84</v>
      </c>
      <c r="F41" s="73">
        <v>2</v>
      </c>
      <c r="G41" s="72">
        <v>1</v>
      </c>
      <c r="H41" s="72">
        <v>21</v>
      </c>
      <c r="I41" s="72">
        <v>74</v>
      </c>
      <c r="J41" s="72">
        <v>96</v>
      </c>
      <c r="K41" s="72">
        <v>96</v>
      </c>
      <c r="L41" s="74"/>
      <c r="M41" s="74"/>
      <c r="N41" s="75">
        <v>23</v>
      </c>
      <c r="O41" s="75">
        <v>22</v>
      </c>
      <c r="P41" s="73">
        <v>4.3600000000000003</v>
      </c>
      <c r="Q41" s="76">
        <v>676</v>
      </c>
      <c r="R41" s="77" t="s">
        <v>10</v>
      </c>
    </row>
    <row r="42" spans="1:18" ht="15" thickBot="1" x14ac:dyDescent="0.35">
      <c r="A42" s="78">
        <v>3.09E-2</v>
      </c>
      <c r="B42" s="4" t="s">
        <v>42</v>
      </c>
      <c r="C42" s="71" t="s">
        <v>135</v>
      </c>
      <c r="D42" s="72">
        <v>0</v>
      </c>
      <c r="E42" s="72">
        <v>3.88</v>
      </c>
      <c r="F42" s="73">
        <v>3</v>
      </c>
      <c r="G42" s="72">
        <v>2</v>
      </c>
      <c r="H42" s="72">
        <v>7</v>
      </c>
      <c r="I42" s="72">
        <v>88</v>
      </c>
      <c r="J42" s="72">
        <v>97</v>
      </c>
      <c r="K42" s="72">
        <v>97</v>
      </c>
      <c r="L42" s="74"/>
      <c r="M42" s="74"/>
      <c r="N42" s="75">
        <v>24</v>
      </c>
      <c r="O42" s="75">
        <v>20</v>
      </c>
      <c r="P42" s="73">
        <v>4.8499999999999996</v>
      </c>
      <c r="Q42" s="76">
        <v>297</v>
      </c>
      <c r="R42" s="77" t="s">
        <v>10</v>
      </c>
    </row>
    <row r="43" spans="1:18" ht="15" thickBot="1" x14ac:dyDescent="0.35">
      <c r="A43" s="78">
        <v>0.04</v>
      </c>
      <c r="B43" s="4" t="s">
        <v>43</v>
      </c>
      <c r="C43" s="71" t="s">
        <v>137</v>
      </c>
      <c r="D43" s="72">
        <v>0</v>
      </c>
      <c r="E43" s="72">
        <v>5</v>
      </c>
      <c r="F43" s="73">
        <v>5</v>
      </c>
      <c r="G43" s="72">
        <v>3</v>
      </c>
      <c r="H43" s="72">
        <v>39</v>
      </c>
      <c r="I43" s="72">
        <v>83</v>
      </c>
      <c r="J43" s="72">
        <v>125</v>
      </c>
      <c r="K43" s="72">
        <v>125</v>
      </c>
      <c r="L43" s="74"/>
      <c r="M43" s="74"/>
      <c r="N43" s="75">
        <v>24</v>
      </c>
      <c r="O43" s="75">
        <v>23</v>
      </c>
      <c r="P43" s="73">
        <v>5.43</v>
      </c>
      <c r="Q43" s="76">
        <v>1029</v>
      </c>
      <c r="R43" s="77" t="s">
        <v>10</v>
      </c>
    </row>
    <row r="44" spans="1:18" ht="15" thickBot="1" x14ac:dyDescent="0.35">
      <c r="A44" s="80">
        <v>0</v>
      </c>
      <c r="B44" s="4" t="s">
        <v>313</v>
      </c>
      <c r="C44" s="71" t="s">
        <v>312</v>
      </c>
      <c r="D44" s="72">
        <v>0</v>
      </c>
      <c r="E44" s="72">
        <v>0.4</v>
      </c>
      <c r="F44" s="81"/>
      <c r="G44" s="4"/>
      <c r="H44" s="72">
        <v>10</v>
      </c>
      <c r="I44" s="4"/>
      <c r="J44" s="72">
        <v>10</v>
      </c>
      <c r="K44" s="72">
        <v>10</v>
      </c>
      <c r="L44" s="74"/>
      <c r="M44" s="74"/>
      <c r="N44" s="74"/>
      <c r="O44" s="75">
        <v>10</v>
      </c>
      <c r="P44" s="73">
        <v>1</v>
      </c>
      <c r="Q44" s="82" t="s">
        <v>13</v>
      </c>
      <c r="R44" s="83" t="s">
        <v>13</v>
      </c>
    </row>
    <row r="45" spans="1:18" ht="15" thickBot="1" x14ac:dyDescent="0.35">
      <c r="A45" s="70">
        <v>6.0900000000000003E-2</v>
      </c>
      <c r="B45" s="4" t="s">
        <v>46</v>
      </c>
      <c r="C45" s="71" t="s">
        <v>135</v>
      </c>
      <c r="D45" s="72">
        <v>2.4</v>
      </c>
      <c r="E45" s="72">
        <v>4.5999999999999996</v>
      </c>
      <c r="F45" s="73">
        <v>7</v>
      </c>
      <c r="G45" s="4"/>
      <c r="H45" s="72">
        <v>7</v>
      </c>
      <c r="I45" s="72">
        <v>108</v>
      </c>
      <c r="J45" s="72">
        <v>115</v>
      </c>
      <c r="K45" s="72">
        <v>112.6</v>
      </c>
      <c r="L45" s="74"/>
      <c r="M45" s="74"/>
      <c r="N45" s="75">
        <v>24</v>
      </c>
      <c r="O45" s="75">
        <v>20</v>
      </c>
      <c r="P45" s="73">
        <v>5.63</v>
      </c>
      <c r="Q45" s="76">
        <v>350.4</v>
      </c>
      <c r="R45" s="77" t="s">
        <v>10</v>
      </c>
    </row>
    <row r="46" spans="1:18" ht="15" thickBot="1" x14ac:dyDescent="0.35">
      <c r="A46" s="85">
        <v>2.7E-2</v>
      </c>
      <c r="B46" s="4" t="s">
        <v>182</v>
      </c>
      <c r="C46" s="71" t="s">
        <v>135</v>
      </c>
      <c r="D46" s="72">
        <v>0</v>
      </c>
      <c r="E46" s="72">
        <v>2.96</v>
      </c>
      <c r="F46" s="73">
        <v>2</v>
      </c>
      <c r="G46" s="72">
        <v>1</v>
      </c>
      <c r="H46" s="72">
        <v>23</v>
      </c>
      <c r="I46" s="72">
        <v>50</v>
      </c>
      <c r="J46" s="72">
        <v>74</v>
      </c>
      <c r="K46" s="72">
        <v>74</v>
      </c>
      <c r="L46" s="74"/>
      <c r="M46" s="74"/>
      <c r="N46" s="75">
        <v>24</v>
      </c>
      <c r="O46" s="75">
        <v>21</v>
      </c>
      <c r="P46" s="73">
        <v>3.52</v>
      </c>
      <c r="Q46" s="76">
        <v>0</v>
      </c>
      <c r="R46" s="79" t="s">
        <v>12</v>
      </c>
    </row>
    <row r="47" spans="1:18" ht="15" thickBot="1" x14ac:dyDescent="0.35">
      <c r="A47" s="85">
        <v>2.58E-2</v>
      </c>
      <c r="B47" s="4" t="s">
        <v>48</v>
      </c>
      <c r="C47" s="71" t="s">
        <v>135</v>
      </c>
      <c r="D47" s="72">
        <v>0</v>
      </c>
      <c r="E47" s="72">
        <v>6.2</v>
      </c>
      <c r="F47" s="73">
        <v>4</v>
      </c>
      <c r="G47" s="4"/>
      <c r="H47" s="72">
        <v>12</v>
      </c>
      <c r="I47" s="72">
        <v>143</v>
      </c>
      <c r="J47" s="72">
        <v>155</v>
      </c>
      <c r="K47" s="72">
        <v>155</v>
      </c>
      <c r="L47" s="74"/>
      <c r="M47" s="74"/>
      <c r="N47" s="75">
        <v>24</v>
      </c>
      <c r="O47" s="75">
        <v>21</v>
      </c>
      <c r="P47" s="73">
        <v>7.38</v>
      </c>
      <c r="Q47" s="76">
        <v>964</v>
      </c>
      <c r="R47" s="77" t="s">
        <v>10</v>
      </c>
    </row>
    <row r="48" spans="1:18" ht="15" thickBot="1" x14ac:dyDescent="0.35">
      <c r="A48" s="78">
        <v>4.4400000000000002E-2</v>
      </c>
      <c r="B48" s="4" t="s">
        <v>183</v>
      </c>
      <c r="C48" s="71" t="s">
        <v>13</v>
      </c>
      <c r="D48" s="72">
        <v>0.2</v>
      </c>
      <c r="E48" s="72">
        <v>1.8</v>
      </c>
      <c r="F48" s="73">
        <v>2</v>
      </c>
      <c r="G48" s="4"/>
      <c r="H48" s="72">
        <v>21</v>
      </c>
      <c r="I48" s="72">
        <v>24</v>
      </c>
      <c r="J48" s="72">
        <v>45</v>
      </c>
      <c r="K48" s="72">
        <v>44.8</v>
      </c>
      <c r="L48" s="74"/>
      <c r="M48" s="74"/>
      <c r="N48" s="75">
        <v>24</v>
      </c>
      <c r="O48" s="75">
        <v>19</v>
      </c>
      <c r="P48" s="73">
        <v>2.36</v>
      </c>
      <c r="Q48" s="82" t="s">
        <v>13</v>
      </c>
      <c r="R48" s="83" t="s">
        <v>13</v>
      </c>
    </row>
    <row r="49" spans="1:18" ht="15" thickBot="1" x14ac:dyDescent="0.35">
      <c r="A49" s="80">
        <v>0</v>
      </c>
      <c r="B49" s="4" t="s">
        <v>125</v>
      </c>
      <c r="C49" s="71" t="s">
        <v>136</v>
      </c>
      <c r="D49" s="72">
        <v>0</v>
      </c>
      <c r="E49" s="72">
        <v>0.04</v>
      </c>
      <c r="F49" s="81"/>
      <c r="G49" s="4"/>
      <c r="H49" s="4"/>
      <c r="I49" s="72">
        <v>1</v>
      </c>
      <c r="J49" s="72">
        <v>1</v>
      </c>
      <c r="K49" s="72">
        <v>1</v>
      </c>
      <c r="L49" s="74"/>
      <c r="M49" s="74"/>
      <c r="N49" s="74"/>
      <c r="O49" s="75">
        <v>0</v>
      </c>
      <c r="P49" s="81"/>
      <c r="Q49" s="82" t="s">
        <v>13</v>
      </c>
      <c r="R49" s="83" t="s">
        <v>13</v>
      </c>
    </row>
    <row r="50" spans="1:18" ht="15" thickBot="1" x14ac:dyDescent="0.35">
      <c r="A50" s="80">
        <v>0</v>
      </c>
      <c r="B50" s="4" t="s">
        <v>49</v>
      </c>
      <c r="C50" s="71" t="s">
        <v>136</v>
      </c>
      <c r="D50" s="72">
        <v>0</v>
      </c>
      <c r="E50" s="72">
        <v>3.48</v>
      </c>
      <c r="F50" s="81"/>
      <c r="G50" s="4"/>
      <c r="H50" s="72">
        <v>17</v>
      </c>
      <c r="I50" s="72">
        <v>70</v>
      </c>
      <c r="J50" s="72">
        <v>87</v>
      </c>
      <c r="K50" s="72">
        <v>87</v>
      </c>
      <c r="L50" s="74"/>
      <c r="M50" s="74"/>
      <c r="N50" s="74"/>
      <c r="O50" s="75">
        <v>26</v>
      </c>
      <c r="P50" s="73">
        <v>3.35</v>
      </c>
      <c r="Q50" s="82" t="s">
        <v>13</v>
      </c>
      <c r="R50" s="83" t="s">
        <v>13</v>
      </c>
    </row>
    <row r="51" spans="1:18" ht="15" thickBot="1" x14ac:dyDescent="0.35">
      <c r="A51" s="70">
        <v>5.8799999999999998E-2</v>
      </c>
      <c r="B51" s="4" t="s">
        <v>50</v>
      </c>
      <c r="C51" s="71" t="s">
        <v>3</v>
      </c>
      <c r="D51" s="72">
        <v>1.9</v>
      </c>
      <c r="E51" s="72">
        <v>4.08</v>
      </c>
      <c r="F51" s="73">
        <v>6</v>
      </c>
      <c r="G51" s="4"/>
      <c r="H51" s="72">
        <v>28</v>
      </c>
      <c r="I51" s="72">
        <v>74</v>
      </c>
      <c r="J51" s="72">
        <v>102</v>
      </c>
      <c r="K51" s="72">
        <v>100.1</v>
      </c>
      <c r="L51" s="74"/>
      <c r="M51" s="74"/>
      <c r="N51" s="75">
        <v>24</v>
      </c>
      <c r="O51" s="75">
        <v>23</v>
      </c>
      <c r="P51" s="73">
        <v>4.3499999999999996</v>
      </c>
      <c r="Q51" s="76">
        <v>332.32</v>
      </c>
      <c r="R51" s="77" t="s">
        <v>10</v>
      </c>
    </row>
    <row r="52" spans="1:18" ht="15" thickBot="1" x14ac:dyDescent="0.35">
      <c r="A52" s="78">
        <v>4.2900000000000001E-2</v>
      </c>
      <c r="B52" s="4" t="s">
        <v>51</v>
      </c>
      <c r="C52" s="71" t="s">
        <v>3</v>
      </c>
      <c r="D52" s="72">
        <v>0.2</v>
      </c>
      <c r="E52" s="72">
        <v>2.8</v>
      </c>
      <c r="F52" s="73">
        <v>3</v>
      </c>
      <c r="G52" s="4"/>
      <c r="H52" s="72">
        <v>5</v>
      </c>
      <c r="I52" s="72">
        <v>65</v>
      </c>
      <c r="J52" s="72">
        <v>70</v>
      </c>
      <c r="K52" s="72">
        <v>69.8</v>
      </c>
      <c r="L52" s="74"/>
      <c r="M52" s="74"/>
      <c r="N52" s="75">
        <v>24</v>
      </c>
      <c r="O52" s="75">
        <v>20</v>
      </c>
      <c r="P52" s="73">
        <v>3.49</v>
      </c>
      <c r="Q52" s="76">
        <v>209.4</v>
      </c>
      <c r="R52" s="77" t="s">
        <v>10</v>
      </c>
    </row>
    <row r="53" spans="1:18" ht="15" thickBot="1" x14ac:dyDescent="0.35">
      <c r="A53" s="80">
        <v>0</v>
      </c>
      <c r="B53" s="4" t="s">
        <v>126</v>
      </c>
      <c r="C53" s="71" t="s">
        <v>3</v>
      </c>
      <c r="D53" s="72">
        <v>0</v>
      </c>
      <c r="E53" s="72">
        <v>2.48</v>
      </c>
      <c r="F53" s="81"/>
      <c r="G53" s="4"/>
      <c r="H53" s="72">
        <v>17</v>
      </c>
      <c r="I53" s="72">
        <v>45</v>
      </c>
      <c r="J53" s="72">
        <v>62</v>
      </c>
      <c r="K53" s="72">
        <v>62</v>
      </c>
      <c r="L53" s="74"/>
      <c r="M53" s="74"/>
      <c r="N53" s="75">
        <v>24</v>
      </c>
      <c r="O53" s="75">
        <v>19</v>
      </c>
      <c r="P53" s="73">
        <v>3.26</v>
      </c>
      <c r="Q53" s="76">
        <v>186</v>
      </c>
      <c r="R53" s="77" t="s">
        <v>10</v>
      </c>
    </row>
    <row r="54" spans="1:18" ht="15" thickBot="1" x14ac:dyDescent="0.35">
      <c r="A54" s="85">
        <v>1.15E-2</v>
      </c>
      <c r="B54" s="4" t="s">
        <v>53</v>
      </c>
      <c r="C54" s="71" t="s">
        <v>13</v>
      </c>
      <c r="D54" s="72">
        <v>0</v>
      </c>
      <c r="E54" s="72">
        <v>3.48</v>
      </c>
      <c r="F54" s="73">
        <v>1</v>
      </c>
      <c r="G54" s="4"/>
      <c r="H54" s="72">
        <v>18</v>
      </c>
      <c r="I54" s="72">
        <v>69</v>
      </c>
      <c r="J54" s="72">
        <v>87</v>
      </c>
      <c r="K54" s="72">
        <v>87</v>
      </c>
      <c r="L54" s="74"/>
      <c r="M54" s="74"/>
      <c r="N54" s="74"/>
      <c r="O54" s="75">
        <v>24</v>
      </c>
      <c r="P54" s="73">
        <v>3.63</v>
      </c>
      <c r="Q54" s="82" t="s">
        <v>13</v>
      </c>
      <c r="R54" s="83" t="s">
        <v>13</v>
      </c>
    </row>
    <row r="55" spans="1:18" ht="15" thickBot="1" x14ac:dyDescent="0.35">
      <c r="A55" s="70">
        <v>6.1899999999999997E-2</v>
      </c>
      <c r="B55" s="4" t="s">
        <v>91</v>
      </c>
      <c r="C55" s="71" t="s">
        <v>3</v>
      </c>
      <c r="D55" s="72">
        <v>2.1</v>
      </c>
      <c r="E55" s="72">
        <v>3.88</v>
      </c>
      <c r="F55" s="73">
        <v>6</v>
      </c>
      <c r="G55" s="4"/>
      <c r="H55" s="72">
        <v>18</v>
      </c>
      <c r="I55" s="72">
        <v>79</v>
      </c>
      <c r="J55" s="72">
        <v>97</v>
      </c>
      <c r="K55" s="72">
        <v>94.9</v>
      </c>
      <c r="L55" s="74"/>
      <c r="M55" s="74"/>
      <c r="N55" s="75">
        <v>24</v>
      </c>
      <c r="O55" s="75">
        <v>23</v>
      </c>
      <c r="P55" s="73">
        <v>4.13</v>
      </c>
      <c r="Q55" s="76">
        <v>311.52</v>
      </c>
      <c r="R55" s="77" t="s">
        <v>10</v>
      </c>
    </row>
    <row r="56" spans="1:18" ht="15" thickBot="1" x14ac:dyDescent="0.35">
      <c r="A56" s="70">
        <v>6.0600000000000001E-2</v>
      </c>
      <c r="B56" s="4" t="s">
        <v>127</v>
      </c>
      <c r="C56" s="71" t="s">
        <v>135</v>
      </c>
      <c r="D56" s="72">
        <v>1.4</v>
      </c>
      <c r="E56" s="72">
        <v>2.64</v>
      </c>
      <c r="F56" s="73">
        <v>4</v>
      </c>
      <c r="G56" s="4"/>
      <c r="H56" s="72">
        <v>13</v>
      </c>
      <c r="I56" s="72">
        <v>53</v>
      </c>
      <c r="J56" s="72">
        <v>66</v>
      </c>
      <c r="K56" s="72">
        <v>64.599999999999994</v>
      </c>
      <c r="L56" s="74"/>
      <c r="M56" s="74"/>
      <c r="N56" s="75">
        <v>24</v>
      </c>
      <c r="O56" s="75">
        <v>21</v>
      </c>
      <c r="P56" s="73">
        <v>3.08</v>
      </c>
      <c r="Q56" s="76">
        <v>0</v>
      </c>
      <c r="R56" s="79" t="s">
        <v>12</v>
      </c>
    </row>
    <row r="57" spans="1:18" ht="15" thickBot="1" x14ac:dyDescent="0.35">
      <c r="A57" s="78">
        <v>3.7400000000000003E-2</v>
      </c>
      <c r="B57" s="4" t="s">
        <v>54</v>
      </c>
      <c r="C57" s="71" t="s">
        <v>135</v>
      </c>
      <c r="D57" s="72">
        <v>0</v>
      </c>
      <c r="E57" s="72">
        <v>4.28</v>
      </c>
      <c r="F57" s="73">
        <v>4</v>
      </c>
      <c r="G57" s="4"/>
      <c r="H57" s="72">
        <v>5</v>
      </c>
      <c r="I57" s="72">
        <v>102</v>
      </c>
      <c r="J57" s="72">
        <v>107</v>
      </c>
      <c r="K57" s="72">
        <v>107</v>
      </c>
      <c r="L57" s="74"/>
      <c r="M57" s="74"/>
      <c r="N57" s="75">
        <v>24</v>
      </c>
      <c r="O57" s="75">
        <v>23</v>
      </c>
      <c r="P57" s="73">
        <v>4.6500000000000004</v>
      </c>
      <c r="Q57" s="76">
        <v>0</v>
      </c>
      <c r="R57" s="79" t="s">
        <v>12</v>
      </c>
    </row>
    <row r="58" spans="1:18" ht="15" thickBot="1" x14ac:dyDescent="0.35">
      <c r="A58" s="78">
        <v>4.82E-2</v>
      </c>
      <c r="B58" s="4" t="s">
        <v>128</v>
      </c>
      <c r="C58" s="71" t="s">
        <v>3</v>
      </c>
      <c r="D58" s="72">
        <v>0.7</v>
      </c>
      <c r="E58" s="72">
        <v>3.32</v>
      </c>
      <c r="F58" s="73">
        <v>4</v>
      </c>
      <c r="G58" s="4"/>
      <c r="H58" s="72">
        <v>16</v>
      </c>
      <c r="I58" s="72">
        <v>67</v>
      </c>
      <c r="J58" s="72">
        <v>83</v>
      </c>
      <c r="K58" s="72">
        <v>82.3</v>
      </c>
      <c r="L58" s="74"/>
      <c r="M58" s="74"/>
      <c r="N58" s="75">
        <v>24</v>
      </c>
      <c r="O58" s="75">
        <v>22</v>
      </c>
      <c r="P58" s="73">
        <v>3.74</v>
      </c>
      <c r="Q58" s="76">
        <v>246.96</v>
      </c>
      <c r="R58" s="77" t="s">
        <v>10</v>
      </c>
    </row>
    <row r="59" spans="1:18" ht="15" thickBot="1" x14ac:dyDescent="0.35">
      <c r="A59" s="78">
        <v>3.4500000000000003E-2</v>
      </c>
      <c r="B59" s="4" t="s">
        <v>55</v>
      </c>
      <c r="C59" s="71" t="s">
        <v>135</v>
      </c>
      <c r="D59" s="72">
        <v>0</v>
      </c>
      <c r="E59" s="72">
        <v>1.1599999999999999</v>
      </c>
      <c r="F59" s="73">
        <v>1</v>
      </c>
      <c r="G59" s="4"/>
      <c r="H59" s="72">
        <v>6</v>
      </c>
      <c r="I59" s="72">
        <v>23</v>
      </c>
      <c r="J59" s="72">
        <v>29</v>
      </c>
      <c r="K59" s="72">
        <v>29</v>
      </c>
      <c r="L59" s="86"/>
      <c r="M59" s="86"/>
      <c r="N59" s="75">
        <v>10</v>
      </c>
      <c r="O59" s="75">
        <v>8</v>
      </c>
      <c r="P59" s="73">
        <v>3.63</v>
      </c>
      <c r="Q59" s="82" t="s">
        <v>13</v>
      </c>
      <c r="R59" s="83" t="s">
        <v>13</v>
      </c>
    </row>
    <row r="60" spans="1:18" ht="15" thickBot="1" x14ac:dyDescent="0.35">
      <c r="A60" s="80">
        <v>0</v>
      </c>
      <c r="B60" s="4" t="s">
        <v>56</v>
      </c>
      <c r="C60" s="71" t="s">
        <v>3</v>
      </c>
      <c r="D60" s="72">
        <v>0</v>
      </c>
      <c r="E60" s="72">
        <v>0.84</v>
      </c>
      <c r="F60" s="81"/>
      <c r="G60" s="72">
        <v>2</v>
      </c>
      <c r="H60" s="72">
        <v>5</v>
      </c>
      <c r="I60" s="72">
        <v>14</v>
      </c>
      <c r="J60" s="72">
        <v>21</v>
      </c>
      <c r="K60" s="72">
        <v>21</v>
      </c>
      <c r="L60" s="86"/>
      <c r="M60" s="86"/>
      <c r="N60" s="74"/>
      <c r="O60" s="75">
        <v>22</v>
      </c>
      <c r="P60" s="73">
        <v>0.95</v>
      </c>
      <c r="Q60" s="76">
        <v>63</v>
      </c>
      <c r="R60" s="77" t="s">
        <v>10</v>
      </c>
    </row>
    <row r="61" spans="1:18" ht="15" thickBot="1" x14ac:dyDescent="0.35">
      <c r="A61" s="84">
        <v>0.1009</v>
      </c>
      <c r="B61" s="4" t="s">
        <v>57</v>
      </c>
      <c r="C61" s="71" t="s">
        <v>3</v>
      </c>
      <c r="D61" s="72">
        <v>6.6</v>
      </c>
      <c r="E61" s="72">
        <v>4.3600000000000003</v>
      </c>
      <c r="F61" s="73">
        <v>11</v>
      </c>
      <c r="G61" s="4"/>
      <c r="H61" s="72">
        <v>12</v>
      </c>
      <c r="I61" s="72">
        <v>97</v>
      </c>
      <c r="J61" s="72">
        <v>109</v>
      </c>
      <c r="K61" s="72">
        <v>102.4</v>
      </c>
      <c r="L61" s="86"/>
      <c r="M61" s="86"/>
      <c r="N61" s="75">
        <v>24</v>
      </c>
      <c r="O61" s="75">
        <v>23</v>
      </c>
      <c r="P61" s="73">
        <v>4.45</v>
      </c>
      <c r="Q61" s="76">
        <v>341.44</v>
      </c>
      <c r="R61" s="77" t="s">
        <v>10</v>
      </c>
    </row>
    <row r="62" spans="1:18" ht="15" thickBot="1" x14ac:dyDescent="0.35">
      <c r="A62" s="78">
        <v>3.9600000000000003E-2</v>
      </c>
      <c r="B62" s="4" t="s">
        <v>58</v>
      </c>
      <c r="C62" s="71" t="s">
        <v>3</v>
      </c>
      <c r="D62" s="72">
        <v>0</v>
      </c>
      <c r="E62" s="72">
        <v>4.04</v>
      </c>
      <c r="F62" s="73">
        <v>4</v>
      </c>
      <c r="G62" s="4"/>
      <c r="H62" s="72">
        <v>26</v>
      </c>
      <c r="I62" s="72">
        <v>75</v>
      </c>
      <c r="J62" s="72">
        <v>101</v>
      </c>
      <c r="K62" s="72">
        <v>101</v>
      </c>
      <c r="L62" s="86"/>
      <c r="M62" s="86"/>
      <c r="N62" s="75">
        <v>24</v>
      </c>
      <c r="O62" s="75">
        <v>22</v>
      </c>
      <c r="P62" s="73">
        <v>4.59</v>
      </c>
      <c r="Q62" s="76">
        <v>352</v>
      </c>
      <c r="R62" s="77" t="s">
        <v>10</v>
      </c>
    </row>
    <row r="63" spans="1:18" ht="15" thickBot="1" x14ac:dyDescent="0.35">
      <c r="A63" s="85">
        <v>2.7E-2</v>
      </c>
      <c r="B63" s="4" t="s">
        <v>92</v>
      </c>
      <c r="C63" s="71" t="s">
        <v>135</v>
      </c>
      <c r="D63" s="72">
        <v>0</v>
      </c>
      <c r="E63" s="72">
        <v>2.96</v>
      </c>
      <c r="F63" s="73">
        <v>2</v>
      </c>
      <c r="G63" s="4"/>
      <c r="H63" s="72">
        <v>9</v>
      </c>
      <c r="I63" s="72">
        <v>65</v>
      </c>
      <c r="J63" s="72">
        <v>74</v>
      </c>
      <c r="K63" s="72">
        <v>74</v>
      </c>
      <c r="L63" s="86"/>
      <c r="M63" s="86"/>
      <c r="N63" s="75">
        <v>24</v>
      </c>
      <c r="O63" s="75">
        <v>18</v>
      </c>
      <c r="P63" s="73">
        <v>4.1100000000000003</v>
      </c>
      <c r="Q63" s="76">
        <v>0</v>
      </c>
      <c r="R63" s="79" t="s">
        <v>12</v>
      </c>
    </row>
    <row r="64" spans="1:18" ht="15" thickBot="1" x14ac:dyDescent="0.35">
      <c r="A64" s="85">
        <v>1.83E-2</v>
      </c>
      <c r="B64" s="4" t="s">
        <v>59</v>
      </c>
      <c r="C64" s="71" t="s">
        <v>135</v>
      </c>
      <c r="D64" s="72">
        <v>0</v>
      </c>
      <c r="E64" s="72">
        <v>4.3600000000000003</v>
      </c>
      <c r="F64" s="73">
        <v>2</v>
      </c>
      <c r="G64" s="4"/>
      <c r="H64" s="72">
        <v>6</v>
      </c>
      <c r="I64" s="72">
        <v>103</v>
      </c>
      <c r="J64" s="72">
        <v>109</v>
      </c>
      <c r="K64" s="72">
        <v>109</v>
      </c>
      <c r="L64" s="86"/>
      <c r="M64" s="86"/>
      <c r="N64" s="75">
        <v>24</v>
      </c>
      <c r="O64" s="75">
        <v>22</v>
      </c>
      <c r="P64" s="73">
        <v>4.95</v>
      </c>
      <c r="Q64" s="76">
        <v>297</v>
      </c>
      <c r="R64" s="77" t="s">
        <v>10</v>
      </c>
    </row>
    <row r="65" spans="1:18" ht="15" thickBot="1" x14ac:dyDescent="0.35">
      <c r="A65" s="84">
        <v>9.3799999999999994E-2</v>
      </c>
      <c r="B65" s="4" t="s">
        <v>60</v>
      </c>
      <c r="C65" s="71" t="s">
        <v>3</v>
      </c>
      <c r="D65" s="72">
        <v>3.4</v>
      </c>
      <c r="E65" s="72">
        <v>2.56</v>
      </c>
      <c r="F65" s="73">
        <v>6</v>
      </c>
      <c r="G65" s="4"/>
      <c r="H65" s="72">
        <v>22</v>
      </c>
      <c r="I65" s="72">
        <v>42</v>
      </c>
      <c r="J65" s="72">
        <v>64</v>
      </c>
      <c r="K65" s="72">
        <v>60.6</v>
      </c>
      <c r="L65" s="86"/>
      <c r="M65" s="86"/>
      <c r="N65" s="75">
        <v>24</v>
      </c>
      <c r="O65" s="75">
        <v>17</v>
      </c>
      <c r="P65" s="73">
        <v>3.56</v>
      </c>
      <c r="Q65" s="76">
        <v>181.68</v>
      </c>
      <c r="R65" s="77" t="s">
        <v>10</v>
      </c>
    </row>
    <row r="66" spans="1:18" ht="15" thickBot="1" x14ac:dyDescent="0.35">
      <c r="A66" s="70">
        <v>6.0600000000000001E-2</v>
      </c>
      <c r="B66" s="4" t="s">
        <v>61</v>
      </c>
      <c r="C66" s="71" t="s">
        <v>135</v>
      </c>
      <c r="D66" s="72">
        <v>1.4</v>
      </c>
      <c r="E66" s="72">
        <v>2.64</v>
      </c>
      <c r="F66" s="73">
        <v>4</v>
      </c>
      <c r="G66" s="4"/>
      <c r="H66" s="72">
        <v>6</v>
      </c>
      <c r="I66" s="72">
        <v>60</v>
      </c>
      <c r="J66" s="72">
        <v>66</v>
      </c>
      <c r="K66" s="72">
        <v>64.599999999999994</v>
      </c>
      <c r="L66" s="86"/>
      <c r="M66" s="86"/>
      <c r="N66" s="75">
        <v>24</v>
      </c>
      <c r="O66" s="75">
        <v>21</v>
      </c>
      <c r="P66" s="73">
        <v>3.08</v>
      </c>
      <c r="Q66" s="76">
        <v>0</v>
      </c>
      <c r="R66" s="79" t="s">
        <v>12</v>
      </c>
    </row>
    <row r="67" spans="1:18" ht="15" thickBot="1" x14ac:dyDescent="0.35">
      <c r="A67" s="80">
        <v>0</v>
      </c>
      <c r="B67" s="4" t="s">
        <v>62</v>
      </c>
      <c r="C67" s="71" t="s">
        <v>135</v>
      </c>
      <c r="D67" s="72">
        <v>0</v>
      </c>
      <c r="E67" s="72">
        <v>2.56</v>
      </c>
      <c r="F67" s="81"/>
      <c r="G67" s="4"/>
      <c r="H67" s="72">
        <v>9</v>
      </c>
      <c r="I67" s="72">
        <v>55</v>
      </c>
      <c r="J67" s="72">
        <v>64</v>
      </c>
      <c r="K67" s="72">
        <v>64</v>
      </c>
      <c r="L67" s="86"/>
      <c r="M67" s="86"/>
      <c r="N67" s="75">
        <v>24</v>
      </c>
      <c r="O67" s="75">
        <v>19</v>
      </c>
      <c r="P67" s="73">
        <v>3.37</v>
      </c>
      <c r="Q67" s="76">
        <v>0</v>
      </c>
      <c r="R67" s="79" t="s">
        <v>12</v>
      </c>
    </row>
    <row r="68" spans="1:18" ht="15" thickBot="1" x14ac:dyDescent="0.35">
      <c r="A68" s="84">
        <v>8.3299999999999999E-2</v>
      </c>
      <c r="B68" s="4" t="s">
        <v>64</v>
      </c>
      <c r="C68" s="71" t="s">
        <v>135</v>
      </c>
      <c r="D68" s="72">
        <v>4.2</v>
      </c>
      <c r="E68" s="72">
        <v>3.84</v>
      </c>
      <c r="F68" s="73">
        <v>8</v>
      </c>
      <c r="G68" s="4"/>
      <c r="H68" s="72">
        <v>3</v>
      </c>
      <c r="I68" s="72">
        <v>93</v>
      </c>
      <c r="J68" s="72">
        <v>96</v>
      </c>
      <c r="K68" s="72">
        <v>91.8</v>
      </c>
      <c r="L68" s="86"/>
      <c r="M68" s="86"/>
      <c r="N68" s="75">
        <v>24</v>
      </c>
      <c r="O68" s="75">
        <v>20</v>
      </c>
      <c r="P68" s="73">
        <v>4.59</v>
      </c>
      <c r="Q68" s="76">
        <v>0</v>
      </c>
      <c r="R68" s="79" t="s">
        <v>12</v>
      </c>
    </row>
    <row r="69" spans="1:18" ht="15" thickBot="1" x14ac:dyDescent="0.35">
      <c r="A69" s="80">
        <v>0</v>
      </c>
      <c r="B69" s="4" t="s">
        <v>65</v>
      </c>
      <c r="C69" s="71" t="s">
        <v>136</v>
      </c>
      <c r="D69" s="72">
        <v>0</v>
      </c>
      <c r="E69" s="72">
        <v>2.2799999999999998</v>
      </c>
      <c r="F69" s="81"/>
      <c r="G69" s="4"/>
      <c r="H69" s="72">
        <v>15</v>
      </c>
      <c r="I69" s="72">
        <v>42</v>
      </c>
      <c r="J69" s="72">
        <v>57</v>
      </c>
      <c r="K69" s="72">
        <v>57</v>
      </c>
      <c r="L69" s="86"/>
      <c r="M69" s="86"/>
      <c r="N69" s="74"/>
      <c r="O69" s="75">
        <v>26</v>
      </c>
      <c r="P69" s="73">
        <v>2.19</v>
      </c>
      <c r="Q69" s="82" t="s">
        <v>13</v>
      </c>
      <c r="R69" s="83" t="s">
        <v>13</v>
      </c>
    </row>
    <row r="70" spans="1:18" ht="15" thickBot="1" x14ac:dyDescent="0.35">
      <c r="A70" s="84">
        <v>9.0899999999999995E-2</v>
      </c>
      <c r="B70" s="4" t="s">
        <v>67</v>
      </c>
      <c r="C70" s="71" t="s">
        <v>135</v>
      </c>
      <c r="D70" s="72">
        <v>0.6</v>
      </c>
      <c r="E70" s="72">
        <v>0.44</v>
      </c>
      <c r="F70" s="73">
        <v>1</v>
      </c>
      <c r="G70" s="4"/>
      <c r="H70" s="72">
        <v>1</v>
      </c>
      <c r="I70" s="72">
        <v>10</v>
      </c>
      <c r="J70" s="72">
        <v>11</v>
      </c>
      <c r="K70" s="72">
        <v>10.4</v>
      </c>
      <c r="L70" s="86"/>
      <c r="M70" s="86"/>
      <c r="N70" s="75">
        <v>24</v>
      </c>
      <c r="O70" s="75">
        <v>25</v>
      </c>
      <c r="P70" s="73">
        <v>0.42</v>
      </c>
      <c r="Q70" s="76">
        <v>0</v>
      </c>
      <c r="R70" s="79" t="s">
        <v>12</v>
      </c>
    </row>
    <row r="71" spans="1:18" ht="15" thickBot="1" x14ac:dyDescent="0.35">
      <c r="A71" s="84">
        <v>9.2600000000000002E-2</v>
      </c>
      <c r="B71" s="4" t="s">
        <v>69</v>
      </c>
      <c r="C71" s="71" t="s">
        <v>137</v>
      </c>
      <c r="D71" s="72">
        <v>2.8</v>
      </c>
      <c r="E71" s="72">
        <v>2.16</v>
      </c>
      <c r="F71" s="73">
        <v>5</v>
      </c>
      <c r="G71" s="72">
        <v>1</v>
      </c>
      <c r="H71" s="72">
        <v>12</v>
      </c>
      <c r="I71" s="72">
        <v>41</v>
      </c>
      <c r="J71" s="72">
        <v>54</v>
      </c>
      <c r="K71" s="72">
        <v>51.2</v>
      </c>
      <c r="L71" s="86"/>
      <c r="M71" s="86"/>
      <c r="N71" s="75">
        <v>10</v>
      </c>
      <c r="O71" s="75">
        <v>9</v>
      </c>
      <c r="P71" s="73">
        <v>5.68</v>
      </c>
      <c r="Q71" s="76">
        <v>404.43</v>
      </c>
      <c r="R71" s="77" t="s">
        <v>10</v>
      </c>
    </row>
    <row r="72" spans="1:18" ht="15" thickBot="1" x14ac:dyDescent="0.35">
      <c r="A72" s="70">
        <v>5.3800000000000001E-2</v>
      </c>
      <c r="B72" s="4" t="s">
        <v>70</v>
      </c>
      <c r="C72" s="71" t="s">
        <v>135</v>
      </c>
      <c r="D72" s="72">
        <v>1.3</v>
      </c>
      <c r="E72" s="72">
        <v>3.72</v>
      </c>
      <c r="F72" s="73">
        <v>5</v>
      </c>
      <c r="G72" s="72">
        <v>2</v>
      </c>
      <c r="H72" s="72">
        <v>16</v>
      </c>
      <c r="I72" s="72">
        <v>75</v>
      </c>
      <c r="J72" s="72">
        <v>93</v>
      </c>
      <c r="K72" s="72">
        <v>91.7</v>
      </c>
      <c r="L72" s="86"/>
      <c r="M72" s="86"/>
      <c r="N72" s="75">
        <v>24</v>
      </c>
      <c r="O72" s="75">
        <v>22</v>
      </c>
      <c r="P72" s="73">
        <v>4.17</v>
      </c>
      <c r="Q72" s="76">
        <v>0</v>
      </c>
      <c r="R72" s="79" t="s">
        <v>12</v>
      </c>
    </row>
    <row r="73" spans="1:18" ht="15" thickBot="1" x14ac:dyDescent="0.35">
      <c r="A73" s="85">
        <v>1.7899999999999999E-2</v>
      </c>
      <c r="B73" s="4" t="s">
        <v>71</v>
      </c>
      <c r="C73" s="71" t="s">
        <v>136</v>
      </c>
      <c r="D73" s="72">
        <v>0</v>
      </c>
      <c r="E73" s="72">
        <v>4.4800000000000004</v>
      </c>
      <c r="F73" s="73">
        <v>2</v>
      </c>
      <c r="G73" s="4"/>
      <c r="H73" s="72">
        <v>49</v>
      </c>
      <c r="I73" s="72">
        <v>63</v>
      </c>
      <c r="J73" s="72">
        <v>112</v>
      </c>
      <c r="K73" s="72">
        <v>112</v>
      </c>
      <c r="L73" s="86"/>
      <c r="M73" s="86"/>
      <c r="N73" s="74"/>
      <c r="O73" s="75">
        <v>24</v>
      </c>
      <c r="P73" s="73">
        <v>4.67</v>
      </c>
      <c r="Q73" s="82" t="s">
        <v>13</v>
      </c>
      <c r="R73" s="83" t="s">
        <v>13</v>
      </c>
    </row>
    <row r="74" spans="1:18" ht="15" thickBot="1" x14ac:dyDescent="0.35">
      <c r="A74" s="80">
        <v>0</v>
      </c>
      <c r="B74" s="4" t="s">
        <v>72</v>
      </c>
      <c r="C74" s="71" t="s">
        <v>136</v>
      </c>
      <c r="D74" s="72">
        <v>0</v>
      </c>
      <c r="E74" s="72">
        <v>2.8</v>
      </c>
      <c r="F74" s="81"/>
      <c r="G74" s="4"/>
      <c r="H74" s="72">
        <v>9</v>
      </c>
      <c r="I74" s="72">
        <v>61</v>
      </c>
      <c r="J74" s="72">
        <v>70</v>
      </c>
      <c r="K74" s="72">
        <v>70</v>
      </c>
      <c r="L74" s="86"/>
      <c r="M74" s="86"/>
      <c r="N74" s="74"/>
      <c r="O74" s="75">
        <v>23</v>
      </c>
      <c r="P74" s="73">
        <v>3.04</v>
      </c>
      <c r="Q74" s="82" t="s">
        <v>13</v>
      </c>
      <c r="R74" s="83" t="s">
        <v>13</v>
      </c>
    </row>
    <row r="75" spans="1:18" ht="15" thickBot="1" x14ac:dyDescent="0.35">
      <c r="A75" s="80">
        <v>0</v>
      </c>
      <c r="B75" s="4" t="s">
        <v>73</v>
      </c>
      <c r="C75" s="71" t="s">
        <v>3</v>
      </c>
      <c r="D75" s="72">
        <v>0</v>
      </c>
      <c r="E75" s="72">
        <v>1.64</v>
      </c>
      <c r="F75" s="81"/>
      <c r="G75" s="72">
        <v>10</v>
      </c>
      <c r="H75" s="72">
        <v>9</v>
      </c>
      <c r="I75" s="72">
        <v>22</v>
      </c>
      <c r="J75" s="72">
        <v>41</v>
      </c>
      <c r="K75" s="72">
        <v>41</v>
      </c>
      <c r="L75" s="86"/>
      <c r="M75" s="86"/>
      <c r="N75" s="74"/>
      <c r="O75" s="75">
        <v>24</v>
      </c>
      <c r="P75" s="73">
        <v>1.71</v>
      </c>
      <c r="Q75" s="76">
        <v>123</v>
      </c>
      <c r="R75" s="77" t="s">
        <v>10</v>
      </c>
    </row>
    <row r="76" spans="1:18" ht="15" thickBot="1" x14ac:dyDescent="0.35">
      <c r="A76" s="85">
        <v>2.1600000000000001E-2</v>
      </c>
      <c r="B76" s="4" t="s">
        <v>74</v>
      </c>
      <c r="C76" s="71" t="s">
        <v>135</v>
      </c>
      <c r="D76" s="72">
        <v>0</v>
      </c>
      <c r="E76" s="72">
        <v>5.56</v>
      </c>
      <c r="F76" s="73">
        <v>3</v>
      </c>
      <c r="G76" s="4"/>
      <c r="H76" s="72">
        <v>32</v>
      </c>
      <c r="I76" s="72">
        <v>107</v>
      </c>
      <c r="J76" s="72">
        <v>139</v>
      </c>
      <c r="K76" s="72">
        <v>139</v>
      </c>
      <c r="L76" s="86"/>
      <c r="M76" s="86"/>
      <c r="N76" s="75">
        <v>24</v>
      </c>
      <c r="O76" s="75">
        <v>22</v>
      </c>
      <c r="P76" s="73">
        <v>6.32</v>
      </c>
      <c r="Q76" s="76">
        <v>642</v>
      </c>
      <c r="R76" s="77" t="s">
        <v>10</v>
      </c>
    </row>
    <row r="77" spans="1:18" ht="15" thickBot="1" x14ac:dyDescent="0.35">
      <c r="A77" s="80">
        <v>0</v>
      </c>
      <c r="B77" s="4" t="s">
        <v>75</v>
      </c>
      <c r="C77" s="71" t="s">
        <v>138</v>
      </c>
      <c r="D77" s="72">
        <v>0</v>
      </c>
      <c r="E77" s="72">
        <v>2.64</v>
      </c>
      <c r="F77" s="81"/>
      <c r="G77" s="4"/>
      <c r="H77" s="72">
        <v>11</v>
      </c>
      <c r="I77" s="72">
        <v>55</v>
      </c>
      <c r="J77" s="72">
        <v>66</v>
      </c>
      <c r="K77" s="72">
        <v>66</v>
      </c>
      <c r="L77" s="86"/>
      <c r="M77" s="86"/>
      <c r="N77" s="74"/>
      <c r="O77" s="75">
        <v>23</v>
      </c>
      <c r="P77" s="73">
        <v>2.87</v>
      </c>
      <c r="Q77" s="76">
        <v>159.38</v>
      </c>
      <c r="R77" s="77" t="s">
        <v>10</v>
      </c>
    </row>
    <row r="78" spans="1:18" ht="15" thickBot="1" x14ac:dyDescent="0.35">
      <c r="A78" s="84">
        <v>7.2700000000000001E-2</v>
      </c>
      <c r="B78" s="4" t="s">
        <v>76</v>
      </c>
      <c r="C78" s="71" t="s">
        <v>3</v>
      </c>
      <c r="D78" s="72">
        <v>1.8</v>
      </c>
      <c r="E78" s="72">
        <v>2.2000000000000002</v>
      </c>
      <c r="F78" s="73">
        <v>4</v>
      </c>
      <c r="G78" s="4"/>
      <c r="H78" s="72">
        <v>8</v>
      </c>
      <c r="I78" s="72">
        <v>47</v>
      </c>
      <c r="J78" s="72">
        <v>55</v>
      </c>
      <c r="K78" s="72">
        <v>53.2</v>
      </c>
      <c r="L78" s="86"/>
      <c r="M78" s="86"/>
      <c r="N78" s="75">
        <v>24</v>
      </c>
      <c r="O78" s="75">
        <v>23</v>
      </c>
      <c r="P78" s="73">
        <v>2.31</v>
      </c>
      <c r="Q78" s="76">
        <v>159.6</v>
      </c>
      <c r="R78" s="77" t="s">
        <v>10</v>
      </c>
    </row>
    <row r="79" spans="1:18" ht="15" thickBot="1" x14ac:dyDescent="0.35">
      <c r="A79" s="85">
        <v>1.3899999999999999E-2</v>
      </c>
      <c r="B79" s="4" t="s">
        <v>77</v>
      </c>
      <c r="C79" s="71" t="s">
        <v>137</v>
      </c>
      <c r="D79" s="72">
        <v>0</v>
      </c>
      <c r="E79" s="72">
        <v>5.76</v>
      </c>
      <c r="F79" s="73">
        <v>2</v>
      </c>
      <c r="G79" s="72">
        <v>2</v>
      </c>
      <c r="H79" s="72">
        <v>32</v>
      </c>
      <c r="I79" s="72">
        <v>110</v>
      </c>
      <c r="J79" s="72">
        <v>144</v>
      </c>
      <c r="K79" s="72">
        <v>144</v>
      </c>
      <c r="L79" s="86"/>
      <c r="M79" s="86"/>
      <c r="N79" s="75">
        <v>24</v>
      </c>
      <c r="O79" s="75">
        <v>23</v>
      </c>
      <c r="P79" s="73">
        <v>6.26</v>
      </c>
      <c r="Q79" s="76">
        <v>1340</v>
      </c>
      <c r="R79" s="77" t="s">
        <v>10</v>
      </c>
    </row>
    <row r="80" spans="1:18" ht="15" thickBot="1" x14ac:dyDescent="0.35">
      <c r="A80" s="85">
        <v>1.1599999999999999E-2</v>
      </c>
      <c r="B80" s="4" t="s">
        <v>130</v>
      </c>
      <c r="C80" s="71" t="s">
        <v>3</v>
      </c>
      <c r="D80" s="72">
        <v>0</v>
      </c>
      <c r="E80" s="72">
        <v>3.44</v>
      </c>
      <c r="F80" s="73">
        <v>1</v>
      </c>
      <c r="G80" s="4"/>
      <c r="H80" s="72">
        <v>12</v>
      </c>
      <c r="I80" s="72">
        <v>74</v>
      </c>
      <c r="J80" s="72">
        <v>86</v>
      </c>
      <c r="K80" s="72">
        <v>86</v>
      </c>
      <c r="L80" s="86"/>
      <c r="M80" s="86"/>
      <c r="N80" s="75">
        <v>24</v>
      </c>
      <c r="O80" s="75">
        <v>22</v>
      </c>
      <c r="P80" s="73">
        <v>3.91</v>
      </c>
      <c r="Q80" s="76">
        <v>258</v>
      </c>
      <c r="R80" s="77" t="s">
        <v>10</v>
      </c>
    </row>
    <row r="81" spans="1:18" ht="15" thickBot="1" x14ac:dyDescent="0.35">
      <c r="A81" s="70">
        <v>6.6699999999999995E-2</v>
      </c>
      <c r="B81" s="4" t="s">
        <v>93</v>
      </c>
      <c r="C81" s="71" t="s">
        <v>135</v>
      </c>
      <c r="D81" s="72">
        <v>2</v>
      </c>
      <c r="E81" s="72">
        <v>3</v>
      </c>
      <c r="F81" s="73">
        <v>5</v>
      </c>
      <c r="G81" s="72">
        <v>1</v>
      </c>
      <c r="H81" s="72">
        <v>17</v>
      </c>
      <c r="I81" s="72">
        <v>57</v>
      </c>
      <c r="J81" s="72">
        <v>75</v>
      </c>
      <c r="K81" s="72">
        <v>73</v>
      </c>
      <c r="L81" s="86"/>
      <c r="M81" s="86"/>
      <c r="N81" s="75">
        <v>24</v>
      </c>
      <c r="O81" s="75">
        <v>18</v>
      </c>
      <c r="P81" s="73">
        <v>4.0599999999999996</v>
      </c>
      <c r="Q81" s="76">
        <v>0</v>
      </c>
      <c r="R81" s="79" t="s">
        <v>12</v>
      </c>
    </row>
    <row r="82" spans="1:18" ht="15" thickBot="1" x14ac:dyDescent="0.35">
      <c r="A82" s="80">
        <v>0</v>
      </c>
      <c r="B82" s="4" t="s">
        <v>131</v>
      </c>
      <c r="C82" s="71" t="s">
        <v>135</v>
      </c>
      <c r="D82" s="72">
        <v>0</v>
      </c>
      <c r="E82" s="72">
        <v>0.96</v>
      </c>
      <c r="F82" s="81"/>
      <c r="G82" s="4"/>
      <c r="H82" s="72">
        <v>1</v>
      </c>
      <c r="I82" s="72">
        <v>23</v>
      </c>
      <c r="J82" s="72">
        <v>24</v>
      </c>
      <c r="K82" s="72">
        <v>24</v>
      </c>
      <c r="L82" s="86"/>
      <c r="M82" s="86"/>
      <c r="N82" s="75">
        <v>24</v>
      </c>
      <c r="O82" s="75">
        <v>16</v>
      </c>
      <c r="P82" s="73">
        <v>1.5</v>
      </c>
      <c r="Q82" s="76">
        <v>0</v>
      </c>
      <c r="R82" s="79" t="s">
        <v>12</v>
      </c>
    </row>
    <row r="83" spans="1:18" ht="15" thickBot="1" x14ac:dyDescent="0.35">
      <c r="A83" s="5"/>
      <c r="B83" s="4"/>
      <c r="C83" s="57"/>
      <c r="D83" s="57"/>
      <c r="E83" s="57"/>
      <c r="F83" s="57"/>
      <c r="G83" s="57"/>
      <c r="H83" s="57"/>
      <c r="I83" s="57"/>
      <c r="J83" s="57"/>
      <c r="K83" s="57"/>
      <c r="L83" s="6"/>
      <c r="M83" s="6"/>
      <c r="N83" s="6"/>
      <c r="O83" s="6"/>
      <c r="P83" s="6"/>
      <c r="Q83" s="6"/>
      <c r="R83" s="57"/>
    </row>
    <row r="84" spans="1:18" ht="15" thickBot="1" x14ac:dyDescent="0.35">
      <c r="A84" s="81"/>
      <c r="B84" s="4"/>
      <c r="C84" s="87"/>
      <c r="D84" s="87"/>
      <c r="E84" s="87"/>
      <c r="F84" s="87"/>
      <c r="G84" s="87"/>
      <c r="H84" s="87"/>
      <c r="I84" s="87"/>
      <c r="J84" s="57"/>
      <c r="K84" s="57"/>
      <c r="L84" s="6"/>
      <c r="M84" s="6"/>
      <c r="N84" s="6"/>
      <c r="O84" s="6"/>
      <c r="P84" s="6"/>
      <c r="Q84" s="6"/>
      <c r="R84" s="57"/>
    </row>
    <row r="85" spans="1:18" ht="15" thickBot="1" x14ac:dyDescent="0.35">
      <c r="A85" s="106" t="s">
        <v>314</v>
      </c>
      <c r="B85" s="88" t="s">
        <v>314</v>
      </c>
      <c r="C85" s="88" t="s">
        <v>315</v>
      </c>
      <c r="D85" s="89" t="s">
        <v>316</v>
      </c>
      <c r="E85" s="89" t="s">
        <v>81</v>
      </c>
      <c r="F85" s="89" t="s">
        <v>82</v>
      </c>
      <c r="G85" s="89" t="s">
        <v>6</v>
      </c>
      <c r="H85" s="89" t="s">
        <v>83</v>
      </c>
      <c r="I85" s="90" t="s">
        <v>317</v>
      </c>
      <c r="J85" s="57"/>
      <c r="K85" s="57"/>
      <c r="L85" s="6"/>
      <c r="M85" s="6"/>
      <c r="N85" s="6"/>
      <c r="O85" s="6"/>
      <c r="P85" s="6"/>
      <c r="Q85" s="6"/>
      <c r="R85" s="57"/>
    </row>
    <row r="86" spans="1:18" ht="15" thickBot="1" x14ac:dyDescent="0.35">
      <c r="A86" s="107"/>
      <c r="B86" s="91" t="s">
        <v>95</v>
      </c>
      <c r="C86" s="92" t="s">
        <v>20</v>
      </c>
      <c r="D86" s="93"/>
      <c r="E86" s="81"/>
      <c r="F86" s="94"/>
      <c r="G86" s="82">
        <v>22</v>
      </c>
      <c r="H86" s="82">
        <v>22</v>
      </c>
      <c r="I86" s="76">
        <v>190.73</v>
      </c>
      <c r="J86" s="57"/>
      <c r="K86" s="57"/>
      <c r="L86" s="6"/>
      <c r="M86" s="6"/>
      <c r="N86" s="6"/>
      <c r="O86" s="6"/>
      <c r="P86" s="6"/>
      <c r="Q86" s="6"/>
      <c r="R86" s="6"/>
    </row>
    <row r="87" spans="1:18" ht="15" thickBot="1" x14ac:dyDescent="0.35">
      <c r="A87" s="107"/>
      <c r="B87" s="91" t="s">
        <v>96</v>
      </c>
      <c r="C87" s="92" t="s">
        <v>17</v>
      </c>
      <c r="D87" s="93"/>
      <c r="E87" s="81"/>
      <c r="F87" s="94"/>
      <c r="G87" s="82">
        <v>22</v>
      </c>
      <c r="H87" s="82">
        <v>22</v>
      </c>
      <c r="I87" s="76">
        <v>51</v>
      </c>
      <c r="J87" s="57"/>
      <c r="K87" s="57"/>
      <c r="L87" s="6"/>
      <c r="M87" s="6"/>
      <c r="N87" s="6"/>
      <c r="O87" s="6"/>
      <c r="P87" s="6"/>
      <c r="Q87" s="6"/>
      <c r="R87" s="6"/>
    </row>
    <row r="88" spans="1:18" ht="15" thickBot="1" x14ac:dyDescent="0.35">
      <c r="A88" s="107"/>
      <c r="B88" s="91" t="s">
        <v>101</v>
      </c>
      <c r="C88" s="92" t="s">
        <v>15</v>
      </c>
      <c r="D88" s="93"/>
      <c r="E88" s="81"/>
      <c r="F88" s="94"/>
      <c r="G88" s="82">
        <v>22</v>
      </c>
      <c r="H88" s="82">
        <v>22</v>
      </c>
      <c r="I88" s="76">
        <v>200.9</v>
      </c>
      <c r="J88" s="57"/>
      <c r="K88" s="57"/>
      <c r="L88" s="6"/>
      <c r="M88" s="6"/>
      <c r="N88" s="6"/>
      <c r="O88" s="6"/>
      <c r="P88" s="6"/>
      <c r="Q88" s="6"/>
      <c r="R88" s="6"/>
    </row>
    <row r="89" spans="1:18" ht="15" thickBot="1" x14ac:dyDescent="0.35">
      <c r="A89" s="107"/>
      <c r="B89" s="91" t="s">
        <v>97</v>
      </c>
      <c r="C89" s="92" t="s">
        <v>139</v>
      </c>
      <c r="D89" s="81"/>
      <c r="E89" s="81"/>
      <c r="F89" s="94"/>
      <c r="G89" s="82">
        <v>22</v>
      </c>
      <c r="H89" s="82">
        <v>22</v>
      </c>
      <c r="I89" s="76">
        <v>402</v>
      </c>
      <c r="J89" s="57"/>
      <c r="K89" s="57"/>
      <c r="L89" s="6"/>
      <c r="M89" s="6"/>
      <c r="N89" s="6"/>
      <c r="O89" s="6"/>
      <c r="P89" s="6"/>
      <c r="Q89" s="6"/>
      <c r="R89" s="6"/>
    </row>
    <row r="90" spans="1:18" ht="15" thickBot="1" x14ac:dyDescent="0.35">
      <c r="A90" s="107"/>
      <c r="B90" s="91" t="s">
        <v>98</v>
      </c>
      <c r="C90" s="92" t="s">
        <v>43</v>
      </c>
      <c r="D90" s="93"/>
      <c r="E90" s="93"/>
      <c r="F90" s="94"/>
      <c r="G90" s="82">
        <v>22</v>
      </c>
      <c r="H90" s="82">
        <v>22</v>
      </c>
      <c r="I90" s="76">
        <v>308.7</v>
      </c>
      <c r="J90" s="57"/>
      <c r="K90" s="57"/>
      <c r="L90" s="6"/>
      <c r="M90" s="6"/>
      <c r="N90" s="6"/>
      <c r="O90" s="6"/>
      <c r="P90" s="6"/>
      <c r="Q90" s="6"/>
      <c r="R90" s="6"/>
    </row>
    <row r="91" spans="1:18" ht="27" thickBot="1" x14ac:dyDescent="0.35">
      <c r="A91" s="107"/>
      <c r="B91" s="91" t="s">
        <v>318</v>
      </c>
      <c r="C91" s="92" t="s">
        <v>39</v>
      </c>
      <c r="D91" s="81"/>
      <c r="E91" s="81"/>
      <c r="F91" s="81"/>
      <c r="G91" s="82">
        <v>22</v>
      </c>
      <c r="H91" s="82">
        <v>22</v>
      </c>
      <c r="I91" s="76">
        <v>367.2</v>
      </c>
      <c r="J91" s="57"/>
      <c r="K91" s="57"/>
      <c r="L91" s="6"/>
      <c r="M91" s="6"/>
      <c r="N91" s="6"/>
      <c r="O91" s="6"/>
      <c r="P91" s="6"/>
      <c r="Q91" s="6"/>
      <c r="R91" s="6"/>
    </row>
    <row r="92" spans="1:18" ht="15" thickBot="1" x14ac:dyDescent="0.35">
      <c r="A92" s="107"/>
      <c r="B92" s="91" t="s">
        <v>100</v>
      </c>
      <c r="C92" s="92" t="s">
        <v>41</v>
      </c>
      <c r="D92" s="81"/>
      <c r="E92" s="81"/>
      <c r="F92" s="81"/>
      <c r="G92" s="82">
        <v>22</v>
      </c>
      <c r="H92" s="82">
        <v>22</v>
      </c>
      <c r="I92" s="76">
        <v>202.8</v>
      </c>
      <c r="J92" s="57"/>
      <c r="K92" s="57"/>
      <c r="L92" s="6"/>
      <c r="M92" s="6"/>
      <c r="N92" s="6"/>
      <c r="O92" s="6"/>
      <c r="P92" s="6"/>
      <c r="Q92" s="6"/>
      <c r="R92" s="6"/>
    </row>
    <row r="93" spans="1:18" ht="15" thickBot="1" x14ac:dyDescent="0.35">
      <c r="A93" s="107"/>
      <c r="B93" s="91" t="s">
        <v>102</v>
      </c>
      <c r="C93" s="92" t="s">
        <v>27</v>
      </c>
      <c r="D93" s="93"/>
      <c r="E93" s="81"/>
      <c r="F93" s="81"/>
      <c r="G93" s="82">
        <v>22</v>
      </c>
      <c r="H93" s="82">
        <v>22</v>
      </c>
      <c r="I93" s="76">
        <v>194.21</v>
      </c>
      <c r="J93" s="13"/>
      <c r="K93" s="13"/>
      <c r="L93" s="95"/>
      <c r="M93" s="95"/>
      <c r="N93" s="95"/>
      <c r="O93" s="95"/>
      <c r="P93" s="95"/>
      <c r="Q93" s="95"/>
      <c r="R93" s="95"/>
    </row>
    <row r="94" spans="1:18" ht="15" thickBot="1" x14ac:dyDescent="0.35">
      <c r="A94" s="107"/>
      <c r="B94" s="81"/>
      <c r="C94" s="81"/>
      <c r="D94" s="81"/>
      <c r="E94" s="81"/>
      <c r="F94" s="94"/>
      <c r="G94" s="82">
        <v>22</v>
      </c>
      <c r="H94" s="82">
        <v>22</v>
      </c>
      <c r="I94" s="81"/>
      <c r="J94" s="13"/>
      <c r="K94" s="13"/>
      <c r="L94" s="95"/>
      <c r="M94" s="57"/>
      <c r="N94" s="95"/>
      <c r="O94" s="95"/>
      <c r="P94" s="95"/>
      <c r="Q94" s="95"/>
      <c r="R94" s="95"/>
    </row>
    <row r="95" spans="1:18" ht="15" thickBot="1" x14ac:dyDescent="0.35">
      <c r="A95" s="108"/>
      <c r="B95" s="81"/>
      <c r="C95" s="81"/>
      <c r="D95" s="81"/>
      <c r="E95" s="81"/>
      <c r="F95" s="81"/>
      <c r="G95" s="82">
        <v>22</v>
      </c>
      <c r="H95" s="82">
        <v>22</v>
      </c>
      <c r="I95" s="81"/>
      <c r="J95" s="57"/>
      <c r="K95" s="57"/>
      <c r="L95" s="6"/>
      <c r="M95" s="6"/>
      <c r="N95" s="6"/>
      <c r="O95" s="6"/>
      <c r="P95" s="6"/>
      <c r="Q95" s="6"/>
      <c r="R95" s="6"/>
    </row>
    <row r="96" spans="1:18" x14ac:dyDescent="0.3">
      <c r="A96" s="95"/>
      <c r="B96" s="57"/>
      <c r="C96" s="95"/>
      <c r="D96" s="13"/>
      <c r="E96" s="13"/>
      <c r="F96" s="13"/>
      <c r="G96" s="13"/>
      <c r="H96" s="13"/>
      <c r="I96" s="13"/>
      <c r="J96" s="13"/>
      <c r="K96" s="13"/>
      <c r="L96" s="95"/>
      <c r="M96" s="95"/>
      <c r="N96" s="95"/>
      <c r="O96" s="95"/>
      <c r="P96" s="95"/>
      <c r="Q96" s="95"/>
      <c r="R96" s="95"/>
    </row>
    <row r="97" spans="1:18" ht="15" thickBot="1" x14ac:dyDescent="0.35">
      <c r="A97" s="93"/>
      <c r="B97" s="93"/>
      <c r="C97" s="93"/>
      <c r="D97" s="96" t="s">
        <v>316</v>
      </c>
      <c r="E97" s="96" t="s">
        <v>81</v>
      </c>
      <c r="F97" s="96" t="s">
        <v>82</v>
      </c>
      <c r="G97" s="96" t="s">
        <v>6</v>
      </c>
      <c r="H97" s="96" t="s">
        <v>83</v>
      </c>
      <c r="I97" s="97" t="s">
        <v>317</v>
      </c>
      <c r="J97" s="57"/>
      <c r="K97" s="57"/>
      <c r="L97" s="6"/>
      <c r="M97" s="6"/>
      <c r="N97" s="6"/>
      <c r="O97" s="6"/>
      <c r="P97" s="6"/>
      <c r="Q97" s="6"/>
      <c r="R97" s="6"/>
    </row>
    <row r="98" spans="1:18" ht="15" thickBot="1" x14ac:dyDescent="0.35">
      <c r="A98" s="109" t="s">
        <v>103</v>
      </c>
      <c r="B98" s="98" t="s">
        <v>104</v>
      </c>
      <c r="C98" s="91" t="s">
        <v>140</v>
      </c>
      <c r="D98" s="4"/>
      <c r="E98" s="4"/>
      <c r="F98" s="4"/>
      <c r="G98" s="99">
        <v>22</v>
      </c>
      <c r="H98" s="72">
        <v>22</v>
      </c>
      <c r="I98" s="100">
        <v>390</v>
      </c>
      <c r="J98" s="57"/>
      <c r="K98" s="57"/>
      <c r="L98" s="6"/>
      <c r="M98" s="6"/>
      <c r="N98" s="6"/>
      <c r="O98" s="6"/>
      <c r="P98" s="6"/>
      <c r="Q98" s="6"/>
      <c r="R98" s="6"/>
    </row>
    <row r="99" spans="1:18" ht="15" thickBot="1" x14ac:dyDescent="0.35">
      <c r="A99" s="110"/>
      <c r="B99" s="98" t="s">
        <v>105</v>
      </c>
      <c r="C99" s="91" t="s">
        <v>141</v>
      </c>
      <c r="D99" s="4"/>
      <c r="E99" s="72">
        <v>17</v>
      </c>
      <c r="F99" s="4"/>
      <c r="G99" s="99">
        <v>22</v>
      </c>
      <c r="H99" s="72">
        <v>5</v>
      </c>
      <c r="I99" s="100">
        <v>83.33</v>
      </c>
      <c r="J99" s="101" t="s">
        <v>319</v>
      </c>
      <c r="K99" s="57"/>
      <c r="L99" s="6"/>
      <c r="M99" s="6"/>
      <c r="N99" s="6"/>
      <c r="O99" s="6"/>
      <c r="P99" s="6"/>
      <c r="Q99" s="6"/>
      <c r="R99" s="6"/>
    </row>
    <row r="100" spans="1:18" ht="15" thickBot="1" x14ac:dyDescent="0.35">
      <c r="A100" s="110"/>
      <c r="B100" s="98" t="s">
        <v>106</v>
      </c>
      <c r="C100" s="91" t="s">
        <v>141</v>
      </c>
      <c r="D100" s="4"/>
      <c r="E100" s="102">
        <v>1</v>
      </c>
      <c r="F100" s="4"/>
      <c r="G100" s="99">
        <v>22</v>
      </c>
      <c r="H100" s="72">
        <v>21</v>
      </c>
      <c r="I100" s="100">
        <v>300</v>
      </c>
      <c r="J100" s="57"/>
      <c r="K100" s="57"/>
      <c r="L100" s="6"/>
      <c r="M100" s="6"/>
      <c r="N100" s="6"/>
      <c r="O100" s="6"/>
      <c r="P100" s="6"/>
      <c r="Q100" s="6"/>
      <c r="R100" s="6"/>
    </row>
    <row r="101" spans="1:18" ht="15" thickBot="1" x14ac:dyDescent="0.35">
      <c r="A101" s="110"/>
      <c r="B101" s="98" t="s">
        <v>107</v>
      </c>
      <c r="C101" s="91" t="s">
        <v>141</v>
      </c>
      <c r="D101" s="4"/>
      <c r="E101" s="4"/>
      <c r="F101" s="4"/>
      <c r="G101" s="99">
        <v>22</v>
      </c>
      <c r="H101" s="72">
        <v>22</v>
      </c>
      <c r="I101" s="100">
        <v>300</v>
      </c>
      <c r="J101" s="57"/>
      <c r="K101" s="57"/>
      <c r="L101" s="6"/>
      <c r="M101" s="6"/>
      <c r="N101" s="6"/>
      <c r="O101" s="6"/>
      <c r="P101" s="6"/>
      <c r="Q101" s="6"/>
      <c r="R101" s="6"/>
    </row>
    <row r="102" spans="1:18" ht="15" thickBot="1" x14ac:dyDescent="0.35">
      <c r="A102" s="110"/>
      <c r="B102" s="98" t="s">
        <v>108</v>
      </c>
      <c r="C102" s="91" t="s">
        <v>141</v>
      </c>
      <c r="D102" s="4"/>
      <c r="E102" s="4"/>
      <c r="F102" s="72">
        <v>3</v>
      </c>
      <c r="G102" s="99">
        <v>22</v>
      </c>
      <c r="H102" s="72">
        <v>19</v>
      </c>
      <c r="I102" s="100">
        <v>220</v>
      </c>
      <c r="J102" s="57"/>
      <c r="K102" s="57"/>
      <c r="L102" s="6"/>
      <c r="M102" s="6"/>
      <c r="N102" s="6"/>
      <c r="O102" s="6"/>
      <c r="P102" s="6"/>
      <c r="Q102" s="6"/>
      <c r="R102" s="6"/>
    </row>
    <row r="103" spans="1:18" ht="15" thickBot="1" x14ac:dyDescent="0.35">
      <c r="A103" s="110"/>
      <c r="B103" s="98" t="s">
        <v>177</v>
      </c>
      <c r="C103" s="98" t="s">
        <v>142</v>
      </c>
      <c r="D103" s="4"/>
      <c r="E103" s="72">
        <v>1</v>
      </c>
      <c r="F103" s="4"/>
      <c r="G103" s="99">
        <v>22</v>
      </c>
      <c r="H103" s="72">
        <v>21</v>
      </c>
      <c r="I103" s="100">
        <v>140</v>
      </c>
      <c r="J103" s="57"/>
      <c r="K103" s="57"/>
      <c r="L103" s="6"/>
      <c r="M103" s="6"/>
      <c r="N103" s="6"/>
      <c r="O103" s="6"/>
      <c r="P103" s="6"/>
      <c r="Q103" s="6"/>
      <c r="R103" s="6"/>
    </row>
    <row r="104" spans="1:18" ht="15" thickBot="1" x14ac:dyDescent="0.35">
      <c r="A104" s="110"/>
      <c r="B104" s="98" t="s">
        <v>109</v>
      </c>
      <c r="C104" s="91" t="s">
        <v>142</v>
      </c>
      <c r="D104" s="4"/>
      <c r="E104" s="4"/>
      <c r="F104" s="72">
        <v>5</v>
      </c>
      <c r="G104" s="99">
        <v>22</v>
      </c>
      <c r="H104" s="72">
        <v>17</v>
      </c>
      <c r="I104" s="100">
        <v>170</v>
      </c>
      <c r="J104" s="57"/>
      <c r="K104" s="57"/>
      <c r="L104" s="6"/>
      <c r="M104" s="6"/>
      <c r="N104" s="6"/>
      <c r="O104" s="6"/>
      <c r="P104" s="6"/>
      <c r="Q104" s="6"/>
      <c r="R104" s="6"/>
    </row>
    <row r="105" spans="1:18" ht="15" thickBot="1" x14ac:dyDescent="0.35">
      <c r="A105" s="110"/>
      <c r="B105" s="91" t="s">
        <v>110</v>
      </c>
      <c r="C105" s="91" t="s">
        <v>142</v>
      </c>
      <c r="D105" s="72">
        <v>1</v>
      </c>
      <c r="E105" s="72">
        <v>1</v>
      </c>
      <c r="F105" s="4"/>
      <c r="G105" s="99">
        <v>22</v>
      </c>
      <c r="H105" s="72">
        <v>21</v>
      </c>
      <c r="I105" s="100">
        <v>140</v>
      </c>
      <c r="J105" s="57"/>
      <c r="K105" s="57"/>
      <c r="L105" s="6"/>
      <c r="M105" s="6"/>
      <c r="N105" s="6"/>
      <c r="O105" s="6"/>
      <c r="P105" s="6"/>
      <c r="Q105" s="6"/>
      <c r="R105" s="6"/>
    </row>
    <row r="106" spans="1:18" ht="15" thickBot="1" x14ac:dyDescent="0.35">
      <c r="A106" s="110"/>
      <c r="B106" s="91" t="s">
        <v>111</v>
      </c>
      <c r="C106" s="91" t="s">
        <v>142</v>
      </c>
      <c r="D106" s="4"/>
      <c r="E106" s="4"/>
      <c r="F106" s="4"/>
      <c r="G106" s="99">
        <v>22</v>
      </c>
      <c r="H106" s="72">
        <v>22</v>
      </c>
      <c r="I106" s="100">
        <v>140</v>
      </c>
      <c r="J106" s="57"/>
      <c r="K106" s="57"/>
      <c r="L106" s="6"/>
      <c r="M106" s="6"/>
      <c r="N106" s="6"/>
      <c r="O106" s="6"/>
      <c r="P106" s="6"/>
      <c r="Q106" s="6"/>
      <c r="R106" s="6"/>
    </row>
    <row r="107" spans="1:18" ht="15" thickBot="1" x14ac:dyDescent="0.35">
      <c r="A107" s="110"/>
      <c r="B107" s="103" t="s">
        <v>112</v>
      </c>
      <c r="C107" s="91" t="s">
        <v>320</v>
      </c>
      <c r="D107" s="4"/>
      <c r="E107" s="4"/>
      <c r="F107" s="4"/>
      <c r="G107" s="99">
        <v>22</v>
      </c>
      <c r="H107" s="72">
        <v>22</v>
      </c>
      <c r="I107" s="100">
        <v>140</v>
      </c>
      <c r="J107" s="57"/>
      <c r="K107" s="57"/>
      <c r="L107" s="6"/>
      <c r="M107" s="6"/>
      <c r="N107" s="6"/>
      <c r="O107" s="6"/>
      <c r="P107" s="6"/>
      <c r="Q107" s="6"/>
      <c r="R107" s="6"/>
    </row>
    <row r="108" spans="1:18" ht="15" thickBot="1" x14ac:dyDescent="0.35">
      <c r="A108" s="110"/>
      <c r="B108" s="103" t="s">
        <v>113</v>
      </c>
      <c r="C108" s="91" t="s">
        <v>142</v>
      </c>
      <c r="D108" s="4"/>
      <c r="E108" s="4"/>
      <c r="F108" s="4"/>
      <c r="G108" s="99">
        <v>22</v>
      </c>
      <c r="H108" s="72">
        <v>22</v>
      </c>
      <c r="I108" s="100">
        <v>140</v>
      </c>
      <c r="J108" s="57"/>
      <c r="K108" s="57"/>
      <c r="L108" s="6"/>
      <c r="M108" s="6"/>
      <c r="N108" s="6"/>
      <c r="O108" s="6"/>
      <c r="P108" s="6"/>
      <c r="Q108" s="6"/>
      <c r="R108" s="6"/>
    </row>
    <row r="109" spans="1:18" ht="15" thickBot="1" x14ac:dyDescent="0.35">
      <c r="A109" s="110"/>
      <c r="B109" s="103" t="s">
        <v>114</v>
      </c>
      <c r="C109" s="91" t="s">
        <v>142</v>
      </c>
      <c r="D109" s="4"/>
      <c r="E109" s="4"/>
      <c r="F109" s="4"/>
      <c r="G109" s="99">
        <v>22</v>
      </c>
      <c r="H109" s="72">
        <v>22</v>
      </c>
      <c r="I109" s="100">
        <v>140</v>
      </c>
      <c r="J109" s="57"/>
      <c r="K109" s="57"/>
      <c r="L109" s="6"/>
      <c r="M109" s="6"/>
      <c r="N109" s="6"/>
      <c r="O109" s="6"/>
      <c r="P109" s="6"/>
      <c r="Q109" s="6"/>
      <c r="R109" s="6"/>
    </row>
    <row r="110" spans="1:18" ht="15" thickBot="1" x14ac:dyDescent="0.35">
      <c r="A110" s="110"/>
      <c r="B110" s="103" t="s">
        <v>115</v>
      </c>
      <c r="C110" s="91" t="s">
        <v>142</v>
      </c>
      <c r="D110" s="4"/>
      <c r="E110" s="4"/>
      <c r="F110" s="4"/>
      <c r="G110" s="99">
        <v>22</v>
      </c>
      <c r="H110" s="72">
        <v>22</v>
      </c>
      <c r="I110" s="100">
        <v>140</v>
      </c>
      <c r="J110" s="57"/>
      <c r="K110" s="57"/>
      <c r="L110" s="6"/>
      <c r="M110" s="6"/>
      <c r="N110" s="6"/>
      <c r="O110" s="6"/>
      <c r="P110" s="6"/>
      <c r="Q110" s="6"/>
      <c r="R110" s="6"/>
    </row>
    <row r="111" spans="1:18" ht="15" thickBot="1" x14ac:dyDescent="0.35">
      <c r="A111" s="110"/>
      <c r="B111" s="91" t="s">
        <v>300</v>
      </c>
      <c r="C111" s="91" t="s">
        <v>142</v>
      </c>
      <c r="D111" s="4"/>
      <c r="E111" s="4"/>
      <c r="F111" s="4"/>
      <c r="G111" s="99">
        <v>22</v>
      </c>
      <c r="H111" s="72">
        <v>22</v>
      </c>
      <c r="I111" s="100">
        <v>140</v>
      </c>
      <c r="J111" s="57"/>
      <c r="K111" s="57"/>
      <c r="L111" s="6"/>
      <c r="M111" s="6"/>
      <c r="N111" s="6"/>
      <c r="O111" s="6"/>
      <c r="P111" s="6"/>
      <c r="Q111" s="6"/>
      <c r="R111" s="6"/>
    </row>
    <row r="112" spans="1:18" x14ac:dyDescent="0.3">
      <c r="A112" s="110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6"/>
      <c r="M112" s="6"/>
      <c r="N112" s="6"/>
      <c r="O112" s="6"/>
      <c r="P112" s="6"/>
      <c r="Q112" s="6"/>
      <c r="R112" s="6"/>
    </row>
    <row r="113" spans="1:18" ht="15" thickBot="1" x14ac:dyDescent="0.35">
      <c r="A113" s="111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6"/>
      <c r="M113" s="6"/>
      <c r="N113" s="6"/>
      <c r="O113" s="6"/>
      <c r="P113" s="6"/>
      <c r="Q113" s="6"/>
      <c r="R113" s="6"/>
    </row>
    <row r="114" spans="1:18" x14ac:dyDescent="0.3">
      <c r="A114" s="6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6"/>
      <c r="M114" s="6"/>
      <c r="N114" s="6"/>
      <c r="O114" s="6"/>
      <c r="P114" s="6"/>
      <c r="Q114" s="6"/>
      <c r="R114" s="6"/>
    </row>
    <row r="115" spans="1:18" x14ac:dyDescent="0.3">
      <c r="A115" s="6"/>
      <c r="B115" s="6"/>
      <c r="C115" s="6"/>
      <c r="D115" s="57"/>
      <c r="E115" s="57"/>
      <c r="F115" s="57"/>
      <c r="G115" s="57"/>
      <c r="H115" s="57"/>
      <c r="I115" s="57"/>
      <c r="J115" s="57"/>
      <c r="K115" s="57"/>
      <c r="L115" s="6"/>
      <c r="M115" s="6"/>
      <c r="N115" s="6"/>
      <c r="O115" s="6"/>
      <c r="P115" s="6"/>
      <c r="Q115" s="6"/>
      <c r="R115" s="6"/>
    </row>
    <row r="116" spans="1:18" ht="15" thickBot="1" x14ac:dyDescent="0.35">
      <c r="A116" s="6"/>
      <c r="B116" s="7"/>
      <c r="C116" s="7"/>
      <c r="D116" s="57"/>
      <c r="E116" s="57"/>
      <c r="F116" s="57"/>
      <c r="G116" s="57"/>
      <c r="H116" s="57"/>
      <c r="I116" s="57"/>
      <c r="J116" s="57"/>
      <c r="K116" s="57"/>
      <c r="L116" s="6"/>
      <c r="M116" s="6"/>
      <c r="N116" s="6"/>
      <c r="O116" s="6"/>
      <c r="P116" s="6"/>
      <c r="Q116" s="6"/>
      <c r="R116" s="6"/>
    </row>
    <row r="117" spans="1:18" ht="15" thickBot="1" x14ac:dyDescent="0.35">
      <c r="A117" s="8"/>
      <c r="B117" s="9" t="s">
        <v>0</v>
      </c>
      <c r="C117" s="9" t="s">
        <v>134</v>
      </c>
      <c r="D117" s="57"/>
      <c r="E117" s="105"/>
      <c r="F117" s="105"/>
      <c r="G117" s="57"/>
      <c r="H117" s="57"/>
      <c r="I117" s="57"/>
      <c r="J117" s="57"/>
      <c r="K117" s="57"/>
      <c r="L117" s="6"/>
      <c r="M117" s="6"/>
      <c r="N117" s="6"/>
      <c r="O117" s="6"/>
      <c r="P117" s="6"/>
      <c r="Q117" s="6"/>
      <c r="R117" s="6"/>
    </row>
    <row r="118" spans="1:18" ht="15" thickBot="1" x14ac:dyDescent="0.35">
      <c r="A118" s="5"/>
      <c r="B118" s="4" t="s">
        <v>11</v>
      </c>
      <c r="C118" s="15" t="s">
        <v>135</v>
      </c>
      <c r="D118" s="57"/>
      <c r="E118" s="13"/>
      <c r="F118" s="13"/>
      <c r="G118" s="57"/>
      <c r="H118" s="57"/>
      <c r="I118" s="57"/>
      <c r="J118" s="57"/>
      <c r="K118" s="57"/>
      <c r="L118" s="6"/>
      <c r="M118" s="6"/>
      <c r="N118" s="6"/>
      <c r="O118" s="6"/>
      <c r="P118" s="6"/>
      <c r="Q118" s="6"/>
      <c r="R118" s="6"/>
    </row>
    <row r="119" spans="1:18" ht="15" thickBot="1" x14ac:dyDescent="0.35">
      <c r="A119" s="5"/>
      <c r="B119" s="3" t="s">
        <v>14</v>
      </c>
      <c r="C119" s="15" t="s">
        <v>136</v>
      </c>
      <c r="D119" s="57"/>
      <c r="E119" s="13"/>
      <c r="F119" s="13"/>
      <c r="G119" s="57"/>
      <c r="H119" s="57"/>
      <c r="I119" s="57"/>
      <c r="J119" s="57"/>
      <c r="K119" s="57"/>
      <c r="L119" s="6"/>
      <c r="M119" s="6"/>
      <c r="N119" s="6"/>
      <c r="O119" s="6"/>
      <c r="P119" s="6"/>
      <c r="Q119" s="6"/>
      <c r="R119" s="6"/>
    </row>
    <row r="120" spans="1:18" ht="15" thickBot="1" x14ac:dyDescent="0.35">
      <c r="A120" s="5"/>
      <c r="B120" s="4" t="s">
        <v>15</v>
      </c>
      <c r="C120" s="15" t="s">
        <v>137</v>
      </c>
      <c r="D120" s="57"/>
      <c r="E120" s="13"/>
      <c r="F120" s="13"/>
      <c r="G120" s="57"/>
      <c r="H120" s="57"/>
      <c r="I120" s="57"/>
      <c r="J120" s="57"/>
      <c r="K120" s="57"/>
      <c r="L120" s="6"/>
      <c r="M120" s="6"/>
      <c r="N120" s="6"/>
      <c r="O120" s="6"/>
      <c r="P120" s="6"/>
      <c r="Q120" s="6"/>
      <c r="R120" s="6"/>
    </row>
    <row r="121" spans="1:18" ht="15" thickBot="1" x14ac:dyDescent="0.35">
      <c r="A121" s="5"/>
      <c r="B121" s="10" t="s">
        <v>85</v>
      </c>
      <c r="C121" s="15" t="s">
        <v>135</v>
      </c>
      <c r="D121" s="57"/>
      <c r="E121" s="13"/>
      <c r="F121" s="13"/>
      <c r="G121" s="57"/>
      <c r="H121" s="57"/>
      <c r="I121" s="57"/>
      <c r="J121" s="57"/>
      <c r="K121" s="57"/>
      <c r="L121" s="6"/>
      <c r="M121" s="6"/>
      <c r="N121" s="6"/>
      <c r="O121" s="6"/>
      <c r="P121" s="6"/>
      <c r="Q121" s="6"/>
      <c r="R121" s="6"/>
    </row>
    <row r="122" spans="1:18" ht="15" thickBot="1" x14ac:dyDescent="0.35">
      <c r="A122" s="5"/>
      <c r="B122" s="4" t="s">
        <v>16</v>
      </c>
      <c r="C122" s="15" t="s">
        <v>135</v>
      </c>
      <c r="D122" s="57"/>
      <c r="E122" s="13"/>
      <c r="F122" s="13"/>
      <c r="G122" s="57"/>
      <c r="H122" s="57"/>
      <c r="I122" s="57"/>
      <c r="J122" s="57"/>
      <c r="K122" s="57"/>
      <c r="L122" s="6"/>
      <c r="M122" s="6"/>
      <c r="N122" s="6"/>
      <c r="O122" s="6"/>
      <c r="P122" s="6"/>
      <c r="Q122" s="6"/>
      <c r="R122" s="6"/>
    </row>
    <row r="123" spans="1:18" ht="15" thickBot="1" x14ac:dyDescent="0.35">
      <c r="A123" s="5"/>
      <c r="B123" s="4" t="s">
        <v>17</v>
      </c>
      <c r="C123" s="15" t="s">
        <v>3</v>
      </c>
      <c r="D123" s="57"/>
      <c r="E123" s="13"/>
      <c r="F123" s="13"/>
      <c r="G123" s="57"/>
      <c r="H123" s="57"/>
      <c r="I123" s="57"/>
      <c r="J123" s="57"/>
      <c r="K123" s="57"/>
      <c r="L123" s="6"/>
      <c r="M123" s="6"/>
      <c r="N123" s="6"/>
      <c r="O123" s="6"/>
      <c r="P123" s="6"/>
      <c r="Q123" s="6"/>
      <c r="R123" s="6"/>
    </row>
    <row r="124" spans="1:18" ht="15" thickBot="1" x14ac:dyDescent="0.35">
      <c r="A124" s="5"/>
      <c r="B124" s="3" t="s">
        <v>18</v>
      </c>
      <c r="C124" s="15" t="s">
        <v>136</v>
      </c>
      <c r="D124" s="57"/>
      <c r="E124" s="13"/>
      <c r="F124" s="13"/>
      <c r="G124" s="57"/>
      <c r="H124" s="57"/>
      <c r="I124" s="57"/>
      <c r="J124" s="57"/>
      <c r="K124" s="57"/>
      <c r="L124" s="6"/>
      <c r="M124" s="6"/>
      <c r="N124" s="6"/>
      <c r="O124" s="6"/>
      <c r="P124" s="6"/>
      <c r="Q124" s="6"/>
      <c r="R124" s="6"/>
    </row>
    <row r="125" spans="1:18" ht="15" thickBot="1" x14ac:dyDescent="0.35">
      <c r="A125" s="5"/>
      <c r="B125" s="4" t="s">
        <v>19</v>
      </c>
      <c r="C125" s="15" t="s">
        <v>135</v>
      </c>
      <c r="D125" s="57"/>
      <c r="E125" s="13"/>
      <c r="F125" s="13"/>
      <c r="G125" s="57"/>
      <c r="H125" s="57"/>
      <c r="I125" s="57"/>
      <c r="J125" s="57"/>
      <c r="K125" s="57"/>
      <c r="L125" s="6"/>
      <c r="M125" s="6"/>
      <c r="N125" s="6"/>
      <c r="O125" s="6"/>
      <c r="P125" s="6"/>
      <c r="Q125" s="6"/>
      <c r="R125" s="6"/>
    </row>
    <row r="126" spans="1:18" ht="15" thickBot="1" x14ac:dyDescent="0.35">
      <c r="A126" s="5"/>
      <c r="B126" s="4" t="s">
        <v>20</v>
      </c>
      <c r="C126" s="15" t="s">
        <v>137</v>
      </c>
      <c r="D126" s="57"/>
      <c r="E126" s="13"/>
      <c r="F126" s="13"/>
      <c r="G126" s="57"/>
      <c r="H126" s="57"/>
      <c r="I126" s="57"/>
      <c r="J126" s="57"/>
      <c r="K126" s="57"/>
      <c r="L126" s="6"/>
      <c r="M126" s="6"/>
      <c r="N126" s="6"/>
      <c r="O126" s="6"/>
      <c r="P126" s="6"/>
      <c r="Q126" s="6"/>
      <c r="R126" s="6"/>
    </row>
    <row r="127" spans="1:18" ht="15" thickBot="1" x14ac:dyDescent="0.35">
      <c r="A127" s="5"/>
      <c r="B127" s="4" t="s">
        <v>21</v>
      </c>
      <c r="C127" s="15" t="s">
        <v>135</v>
      </c>
      <c r="D127" s="57"/>
      <c r="E127" s="13"/>
      <c r="F127" s="13"/>
      <c r="G127" s="57"/>
      <c r="H127" s="57"/>
      <c r="I127" s="57"/>
      <c r="J127" s="57"/>
      <c r="K127" s="57"/>
      <c r="L127" s="6"/>
      <c r="M127" s="6"/>
      <c r="N127" s="6"/>
      <c r="O127" s="6"/>
      <c r="P127" s="6"/>
      <c r="Q127" s="6"/>
      <c r="R127" s="6"/>
    </row>
    <row r="128" spans="1:18" ht="15" thickBot="1" x14ac:dyDescent="0.35">
      <c r="A128" s="5"/>
      <c r="B128" s="1" t="s">
        <v>86</v>
      </c>
      <c r="C128" s="15" t="s">
        <v>135</v>
      </c>
      <c r="D128" s="57"/>
      <c r="E128" s="13"/>
      <c r="F128" s="13"/>
      <c r="G128" s="57"/>
      <c r="H128" s="57"/>
      <c r="I128" s="57"/>
      <c r="J128" s="57"/>
      <c r="K128" s="57"/>
      <c r="L128" s="6"/>
      <c r="M128" s="6"/>
      <c r="N128" s="6"/>
      <c r="O128" s="6"/>
      <c r="P128" s="6"/>
      <c r="Q128" s="6"/>
      <c r="R128" s="6"/>
    </row>
    <row r="129" spans="1:18" ht="15" thickBot="1" x14ac:dyDescent="0.35">
      <c r="A129" s="5"/>
      <c r="B129" s="1" t="s">
        <v>22</v>
      </c>
      <c r="C129" s="15" t="s">
        <v>137</v>
      </c>
      <c r="D129" s="57"/>
      <c r="E129" s="13"/>
      <c r="F129" s="13"/>
      <c r="G129" s="57"/>
      <c r="H129" s="57"/>
      <c r="I129" s="57"/>
      <c r="J129" s="57"/>
      <c r="K129" s="57"/>
      <c r="L129" s="6"/>
      <c r="M129" s="6"/>
      <c r="N129" s="6"/>
      <c r="O129" s="6"/>
      <c r="P129" s="6"/>
      <c r="Q129" s="6"/>
      <c r="R129" s="6"/>
    </row>
    <row r="130" spans="1:18" ht="15" thickBot="1" x14ac:dyDescent="0.35">
      <c r="A130" s="5"/>
      <c r="B130" s="4" t="s">
        <v>23</v>
      </c>
      <c r="C130" s="15" t="s">
        <v>3</v>
      </c>
      <c r="D130" s="57"/>
      <c r="E130" s="13"/>
      <c r="F130" s="13"/>
      <c r="G130" s="57"/>
      <c r="H130" s="57"/>
      <c r="I130" s="57"/>
      <c r="J130" s="57"/>
      <c r="K130" s="57"/>
      <c r="L130" s="6"/>
      <c r="M130" s="6"/>
      <c r="N130" s="6"/>
      <c r="O130" s="6"/>
      <c r="P130" s="6"/>
      <c r="Q130" s="6"/>
      <c r="R130" s="6"/>
    </row>
    <row r="131" spans="1:18" ht="15" thickBot="1" x14ac:dyDescent="0.35">
      <c r="A131" s="5"/>
      <c r="B131" s="4" t="s">
        <v>24</v>
      </c>
      <c r="C131" s="15" t="s">
        <v>135</v>
      </c>
      <c r="D131" s="57"/>
      <c r="E131" s="13"/>
      <c r="F131" s="13"/>
      <c r="G131" s="57"/>
      <c r="H131" s="57"/>
      <c r="I131" s="57"/>
      <c r="J131" s="57"/>
      <c r="K131" s="57"/>
      <c r="L131" s="6"/>
      <c r="M131" s="6"/>
      <c r="N131" s="6"/>
      <c r="O131" s="6"/>
      <c r="P131" s="6"/>
      <c r="Q131" s="6"/>
      <c r="R131" s="6"/>
    </row>
    <row r="132" spans="1:18" ht="15" thickBot="1" x14ac:dyDescent="0.35">
      <c r="A132" s="5"/>
      <c r="B132" s="4" t="s">
        <v>87</v>
      </c>
      <c r="C132" s="15" t="s">
        <v>135</v>
      </c>
      <c r="D132" s="57"/>
      <c r="E132" s="13"/>
      <c r="F132" s="13"/>
      <c r="G132" s="57"/>
      <c r="H132" s="57"/>
      <c r="I132" s="57"/>
      <c r="J132" s="57"/>
      <c r="K132" s="57"/>
      <c r="L132" s="6"/>
      <c r="M132" s="6"/>
      <c r="N132" s="6"/>
      <c r="O132" s="6"/>
      <c r="P132" s="6"/>
      <c r="Q132" s="6"/>
      <c r="R132" s="6"/>
    </row>
    <row r="133" spans="1:18" ht="15" thickBot="1" x14ac:dyDescent="0.35">
      <c r="A133" s="5"/>
      <c r="B133" s="11" t="s">
        <v>25</v>
      </c>
      <c r="C133" s="15" t="s">
        <v>135</v>
      </c>
      <c r="D133" s="57"/>
      <c r="E133" s="13"/>
      <c r="F133" s="13"/>
      <c r="G133" s="57"/>
      <c r="H133" s="57"/>
      <c r="I133" s="57"/>
      <c r="J133" s="57"/>
      <c r="K133" s="57"/>
      <c r="L133" s="6"/>
      <c r="M133" s="6"/>
      <c r="N133" s="6"/>
      <c r="O133" s="6"/>
      <c r="P133" s="6"/>
      <c r="Q133" s="6"/>
      <c r="R133" s="6"/>
    </row>
    <row r="134" spans="1:18" ht="15" thickBot="1" x14ac:dyDescent="0.35">
      <c r="A134" s="5"/>
      <c r="B134" s="2" t="s">
        <v>26</v>
      </c>
      <c r="C134" s="15" t="s">
        <v>138</v>
      </c>
      <c r="D134" s="57"/>
      <c r="E134" s="13"/>
      <c r="F134" s="13"/>
      <c r="G134" s="57"/>
      <c r="H134" s="57"/>
      <c r="I134" s="57"/>
      <c r="J134" s="57"/>
      <c r="K134" s="57"/>
      <c r="L134" s="6"/>
      <c r="M134" s="6"/>
      <c r="N134" s="6"/>
      <c r="O134" s="6"/>
      <c r="P134" s="6"/>
      <c r="Q134" s="6"/>
      <c r="R134" s="6"/>
    </row>
    <row r="135" spans="1:18" ht="15" thickBot="1" x14ac:dyDescent="0.35">
      <c r="A135" s="5"/>
      <c r="B135" s="4" t="s">
        <v>27</v>
      </c>
      <c r="C135" s="15" t="s">
        <v>137</v>
      </c>
      <c r="D135" s="57"/>
      <c r="E135" s="13"/>
      <c r="F135" s="13"/>
      <c r="G135" s="57"/>
      <c r="H135" s="57"/>
      <c r="I135" s="57"/>
      <c r="J135" s="57"/>
      <c r="K135" s="57"/>
      <c r="L135" s="6"/>
      <c r="M135" s="6"/>
      <c r="N135" s="6"/>
      <c r="O135" s="6"/>
      <c r="P135" s="6"/>
      <c r="Q135" s="6"/>
      <c r="R135" s="6"/>
    </row>
    <row r="136" spans="1:18" ht="15" thickBot="1" x14ac:dyDescent="0.35">
      <c r="A136" s="5"/>
      <c r="B136" s="3" t="s">
        <v>28</v>
      </c>
      <c r="C136" s="15" t="s">
        <v>136</v>
      </c>
      <c r="D136" s="57"/>
      <c r="E136" s="13"/>
      <c r="F136" s="13"/>
      <c r="G136" s="57"/>
      <c r="H136" s="57"/>
      <c r="I136" s="57"/>
      <c r="J136" s="57"/>
      <c r="K136" s="57"/>
      <c r="L136" s="6"/>
      <c r="M136" s="6"/>
      <c r="N136" s="6"/>
      <c r="O136" s="6"/>
      <c r="P136" s="6"/>
      <c r="Q136" s="6"/>
      <c r="R136" s="6"/>
    </row>
    <row r="137" spans="1:18" ht="15" thickBot="1" x14ac:dyDescent="0.35">
      <c r="A137" s="5"/>
      <c r="B137" s="4" t="s">
        <v>88</v>
      </c>
      <c r="C137" s="15" t="s">
        <v>135</v>
      </c>
      <c r="D137" s="57"/>
      <c r="E137" s="13"/>
      <c r="F137" s="13"/>
      <c r="G137" s="57"/>
      <c r="H137" s="57"/>
      <c r="I137" s="57"/>
      <c r="J137" s="57"/>
      <c r="K137" s="57"/>
      <c r="L137" s="6"/>
      <c r="M137" s="6"/>
      <c r="N137" s="6"/>
      <c r="O137" s="6"/>
      <c r="P137" s="6"/>
      <c r="Q137" s="6"/>
      <c r="R137" s="6"/>
    </row>
    <row r="138" spans="1:18" ht="15" thickBot="1" x14ac:dyDescent="0.35">
      <c r="A138" s="5"/>
      <c r="B138" s="4" t="s">
        <v>29</v>
      </c>
      <c r="C138" s="15" t="s">
        <v>3</v>
      </c>
      <c r="D138" s="57"/>
      <c r="E138" s="13"/>
      <c r="F138" s="13"/>
      <c r="G138" s="57"/>
      <c r="H138" s="57"/>
      <c r="I138" s="57"/>
      <c r="J138" s="57"/>
      <c r="K138" s="57"/>
      <c r="L138" s="6"/>
      <c r="M138" s="6"/>
      <c r="N138" s="6"/>
      <c r="O138" s="6"/>
      <c r="P138" s="6"/>
      <c r="Q138" s="6"/>
      <c r="R138" s="6"/>
    </row>
    <row r="139" spans="1:18" ht="15" thickBot="1" x14ac:dyDescent="0.35">
      <c r="A139" s="5"/>
      <c r="B139" s="4" t="s">
        <v>30</v>
      </c>
      <c r="C139" s="15" t="s">
        <v>3</v>
      </c>
      <c r="D139" s="57"/>
      <c r="E139" s="13"/>
      <c r="F139" s="13"/>
      <c r="G139" s="57"/>
      <c r="H139" s="57"/>
      <c r="I139" s="57"/>
      <c r="J139" s="57"/>
      <c r="K139" s="57"/>
      <c r="L139" s="6"/>
      <c r="M139" s="6"/>
      <c r="N139" s="6"/>
      <c r="O139" s="6"/>
      <c r="P139" s="6"/>
      <c r="Q139" s="6"/>
      <c r="R139" s="6"/>
    </row>
    <row r="140" spans="1:18" ht="15" thickBot="1" x14ac:dyDescent="0.35">
      <c r="A140" s="5"/>
      <c r="B140" s="4" t="s">
        <v>31</v>
      </c>
      <c r="C140" s="4" t="s">
        <v>135</v>
      </c>
      <c r="D140" s="57"/>
      <c r="E140" s="13"/>
      <c r="F140" s="13"/>
      <c r="G140" s="57"/>
      <c r="H140" s="57"/>
      <c r="I140" s="57"/>
      <c r="J140" s="57"/>
      <c r="K140" s="57"/>
      <c r="L140" s="6"/>
      <c r="M140" s="6"/>
      <c r="N140" s="6"/>
      <c r="O140" s="6"/>
      <c r="P140" s="6"/>
      <c r="Q140" s="6"/>
      <c r="R140" s="6"/>
    </row>
    <row r="141" spans="1:18" ht="15" thickBot="1" x14ac:dyDescent="0.35">
      <c r="A141" s="5"/>
      <c r="B141" s="4" t="s">
        <v>32</v>
      </c>
      <c r="C141" s="4" t="s">
        <v>3</v>
      </c>
      <c r="D141" s="57"/>
      <c r="E141" s="13"/>
      <c r="F141" s="13"/>
      <c r="G141" s="57"/>
      <c r="H141" s="57"/>
      <c r="I141" s="57"/>
      <c r="J141" s="57"/>
      <c r="K141" s="57"/>
      <c r="L141" s="6"/>
      <c r="M141" s="6"/>
      <c r="N141" s="6"/>
      <c r="O141" s="6"/>
      <c r="P141" s="6"/>
      <c r="Q141" s="6"/>
      <c r="R141" s="6"/>
    </row>
    <row r="142" spans="1:18" ht="15" thickBot="1" x14ac:dyDescent="0.35">
      <c r="A142" s="5"/>
      <c r="B142" s="4" t="s">
        <v>33</v>
      </c>
      <c r="C142" s="15" t="s">
        <v>3</v>
      </c>
      <c r="D142" s="57"/>
      <c r="E142" s="13"/>
      <c r="F142" s="13"/>
      <c r="G142" s="57"/>
      <c r="H142" s="57"/>
      <c r="I142" s="57"/>
      <c r="J142" s="57"/>
      <c r="K142" s="57"/>
      <c r="L142" s="6"/>
      <c r="M142" s="6"/>
      <c r="N142" s="6"/>
      <c r="O142" s="6"/>
      <c r="P142" s="6"/>
      <c r="Q142" s="6"/>
      <c r="R142" s="6"/>
    </row>
    <row r="143" spans="1:18" ht="15" thickBot="1" x14ac:dyDescent="0.35">
      <c r="A143" s="5"/>
      <c r="B143" s="4" t="s">
        <v>34</v>
      </c>
      <c r="C143" s="15" t="s">
        <v>135</v>
      </c>
      <c r="D143" s="57"/>
      <c r="E143" s="13"/>
      <c r="F143" s="13"/>
      <c r="G143" s="57"/>
      <c r="H143" s="57"/>
      <c r="I143" s="57"/>
      <c r="J143" s="57"/>
      <c r="K143" s="57"/>
      <c r="L143" s="6"/>
      <c r="M143" s="6"/>
      <c r="N143" s="6"/>
      <c r="O143" s="6"/>
      <c r="P143" s="6"/>
      <c r="Q143" s="6"/>
      <c r="R143" s="6"/>
    </row>
    <row r="144" spans="1:18" ht="15" thickBot="1" x14ac:dyDescent="0.35">
      <c r="A144" s="5"/>
      <c r="B144" s="4" t="s">
        <v>35</v>
      </c>
      <c r="C144" s="15" t="s">
        <v>3</v>
      </c>
      <c r="D144" s="57"/>
      <c r="E144" s="13"/>
      <c r="F144" s="13"/>
      <c r="G144" s="57"/>
      <c r="H144" s="57"/>
      <c r="I144" s="57"/>
      <c r="J144" s="57"/>
      <c r="K144" s="57"/>
      <c r="L144" s="6"/>
      <c r="M144" s="6"/>
      <c r="N144" s="6"/>
      <c r="O144" s="6"/>
      <c r="P144" s="6"/>
      <c r="Q144" s="6"/>
      <c r="R144" s="6"/>
    </row>
    <row r="145" spans="1:18" ht="15" thickBot="1" x14ac:dyDescent="0.35">
      <c r="A145" s="5"/>
      <c r="B145" s="4" t="s">
        <v>36</v>
      </c>
      <c r="C145" s="15" t="s">
        <v>135</v>
      </c>
      <c r="D145" s="57"/>
      <c r="E145" s="13"/>
      <c r="F145" s="13"/>
      <c r="G145" s="57"/>
      <c r="H145" s="57"/>
      <c r="I145" s="57"/>
      <c r="J145" s="57"/>
      <c r="K145" s="57"/>
      <c r="L145" s="6"/>
      <c r="M145" s="6"/>
      <c r="N145" s="6"/>
      <c r="O145" s="6"/>
      <c r="P145" s="6"/>
      <c r="Q145" s="6"/>
      <c r="R145" s="6"/>
    </row>
    <row r="146" spans="1:18" ht="15" thickBot="1" x14ac:dyDescent="0.35">
      <c r="A146" s="5"/>
      <c r="B146" s="4" t="s">
        <v>182</v>
      </c>
      <c r="C146" s="15" t="s">
        <v>135</v>
      </c>
      <c r="D146" s="57"/>
      <c r="E146" s="13"/>
      <c r="F146" s="13"/>
      <c r="G146" s="57"/>
      <c r="H146" s="57"/>
      <c r="I146" s="57"/>
      <c r="J146" s="57"/>
      <c r="K146" s="57"/>
      <c r="L146" s="6"/>
      <c r="M146" s="6"/>
      <c r="N146" s="6"/>
      <c r="O146" s="6"/>
      <c r="P146" s="6"/>
      <c r="Q146" s="6"/>
      <c r="R146" s="6"/>
    </row>
    <row r="147" spans="1:18" ht="15" thickBot="1" x14ac:dyDescent="0.35">
      <c r="A147" s="5"/>
      <c r="B147" s="4" t="s">
        <v>89</v>
      </c>
      <c r="C147" s="15" t="s">
        <v>135</v>
      </c>
      <c r="D147" s="57"/>
      <c r="E147" s="13"/>
      <c r="F147" s="13"/>
      <c r="G147" s="57"/>
      <c r="H147" s="57"/>
      <c r="I147" s="57"/>
      <c r="J147" s="57"/>
      <c r="K147" s="57"/>
      <c r="L147" s="6"/>
      <c r="M147" s="6"/>
      <c r="N147" s="6"/>
      <c r="O147" s="6"/>
      <c r="P147" s="6"/>
      <c r="Q147" s="6"/>
      <c r="R147" s="6"/>
    </row>
    <row r="148" spans="1:18" ht="15" thickBot="1" x14ac:dyDescent="0.35">
      <c r="A148" s="5"/>
      <c r="B148" s="4" t="s">
        <v>38</v>
      </c>
      <c r="C148" s="15" t="s">
        <v>3</v>
      </c>
      <c r="D148" s="57"/>
      <c r="E148" s="13"/>
      <c r="F148" s="13"/>
      <c r="G148" s="57"/>
      <c r="H148" s="57"/>
      <c r="I148" s="57"/>
      <c r="J148" s="57"/>
      <c r="K148" s="57"/>
      <c r="L148" s="6"/>
      <c r="M148" s="6"/>
      <c r="N148" s="6"/>
      <c r="O148" s="6"/>
      <c r="P148" s="6"/>
      <c r="Q148" s="6"/>
      <c r="R148" s="6"/>
    </row>
    <row r="149" spans="1:18" ht="15" thickBot="1" x14ac:dyDescent="0.35">
      <c r="A149" s="5"/>
      <c r="B149" s="4" t="s">
        <v>39</v>
      </c>
      <c r="C149" s="15" t="s">
        <v>137</v>
      </c>
      <c r="D149" s="57"/>
      <c r="E149" s="13"/>
      <c r="F149" s="13"/>
      <c r="G149" s="57"/>
      <c r="H149" s="57"/>
      <c r="I149" s="57"/>
      <c r="J149" s="57"/>
      <c r="K149" s="57"/>
      <c r="L149" s="6"/>
      <c r="M149" s="6"/>
      <c r="N149" s="6"/>
      <c r="O149" s="6"/>
      <c r="P149" s="6"/>
      <c r="Q149" s="6"/>
      <c r="R149" s="6"/>
    </row>
    <row r="150" spans="1:18" ht="15" thickBot="1" x14ac:dyDescent="0.35">
      <c r="A150" s="5"/>
      <c r="B150" s="2" t="s">
        <v>40</v>
      </c>
      <c r="C150" s="15" t="s">
        <v>135</v>
      </c>
      <c r="D150" s="57"/>
      <c r="E150" s="13"/>
      <c r="F150" s="13"/>
      <c r="G150" s="57"/>
      <c r="H150" s="57"/>
      <c r="I150" s="57"/>
      <c r="J150" s="57"/>
      <c r="K150" s="57"/>
      <c r="L150" s="6"/>
      <c r="M150" s="6"/>
      <c r="N150" s="6"/>
      <c r="O150" s="6"/>
      <c r="P150" s="6"/>
      <c r="Q150" s="6"/>
      <c r="R150" s="6"/>
    </row>
    <row r="151" spans="1:18" ht="15" thickBot="1" x14ac:dyDescent="0.35">
      <c r="A151" s="5"/>
      <c r="B151" s="4" t="s">
        <v>41</v>
      </c>
      <c r="C151" s="16" t="s">
        <v>137</v>
      </c>
      <c r="D151" s="57"/>
      <c r="E151" s="13"/>
      <c r="F151" s="13"/>
      <c r="G151" s="57"/>
      <c r="H151" s="57"/>
      <c r="I151" s="57"/>
      <c r="J151" s="57"/>
      <c r="K151" s="57"/>
      <c r="L151" s="6"/>
      <c r="M151" s="6"/>
      <c r="N151" s="6"/>
      <c r="O151" s="6"/>
      <c r="P151" s="6"/>
      <c r="Q151" s="6"/>
      <c r="R151" s="6"/>
    </row>
    <row r="152" spans="1:18" ht="15" thickBot="1" x14ac:dyDescent="0.35">
      <c r="A152" s="5"/>
      <c r="B152" s="4" t="s">
        <v>42</v>
      </c>
      <c r="C152" s="4" t="s">
        <v>135</v>
      </c>
      <c r="D152" s="57"/>
      <c r="E152" s="13"/>
      <c r="F152" s="13"/>
      <c r="G152" s="57"/>
      <c r="H152" s="57"/>
      <c r="I152" s="57"/>
      <c r="J152" s="57"/>
      <c r="K152" s="57"/>
      <c r="L152" s="6"/>
      <c r="M152" s="6"/>
      <c r="N152" s="6"/>
      <c r="O152" s="6"/>
      <c r="P152" s="6"/>
      <c r="Q152" s="6"/>
      <c r="R152" s="6"/>
    </row>
    <row r="153" spans="1:18" ht="15" thickBot="1" x14ac:dyDescent="0.35">
      <c r="A153" s="5"/>
      <c r="B153" s="4" t="s">
        <v>43</v>
      </c>
      <c r="C153" s="4" t="s">
        <v>137</v>
      </c>
      <c r="D153" s="57"/>
      <c r="E153" s="13"/>
      <c r="F153" s="13"/>
      <c r="G153" s="57"/>
      <c r="H153" s="57"/>
      <c r="I153" s="57"/>
      <c r="J153" s="57"/>
      <c r="K153" s="57"/>
      <c r="L153" s="6"/>
      <c r="M153" s="6"/>
      <c r="N153" s="6"/>
      <c r="O153" s="6"/>
      <c r="P153" s="6"/>
      <c r="Q153" s="6"/>
      <c r="R153" s="6"/>
    </row>
    <row r="154" spans="1:18" ht="15" thickBot="1" x14ac:dyDescent="0.35">
      <c r="A154" s="5"/>
      <c r="B154" s="4" t="s">
        <v>44</v>
      </c>
      <c r="C154" s="15" t="s">
        <v>135</v>
      </c>
      <c r="D154" s="57"/>
      <c r="E154" s="13"/>
      <c r="F154" s="13"/>
      <c r="G154" s="57"/>
      <c r="H154" s="57"/>
      <c r="I154" s="57"/>
      <c r="J154" s="57"/>
      <c r="K154" s="57"/>
      <c r="L154" s="6"/>
      <c r="M154" s="6"/>
      <c r="N154" s="6"/>
      <c r="O154" s="6"/>
      <c r="P154" s="6"/>
      <c r="Q154" s="6"/>
      <c r="R154" s="6"/>
    </row>
    <row r="155" spans="1:18" ht="15" thickBot="1" x14ac:dyDescent="0.35">
      <c r="A155" s="5"/>
      <c r="B155" s="4" t="s">
        <v>99</v>
      </c>
      <c r="C155" s="15" t="s">
        <v>135</v>
      </c>
      <c r="D155" s="57"/>
      <c r="E155" s="14"/>
      <c r="F155" s="13"/>
      <c r="G155" s="57"/>
      <c r="H155" s="57"/>
      <c r="I155" s="57"/>
      <c r="J155" s="57"/>
      <c r="K155" s="57"/>
      <c r="L155" s="6"/>
      <c r="M155" s="6"/>
      <c r="N155" s="6"/>
      <c r="O155" s="6"/>
      <c r="P155" s="6"/>
      <c r="Q155" s="6"/>
      <c r="R155" s="6"/>
    </row>
    <row r="156" spans="1:18" ht="15" thickBot="1" x14ac:dyDescent="0.35">
      <c r="A156" s="5"/>
      <c r="B156" s="4" t="s">
        <v>46</v>
      </c>
      <c r="C156" s="15" t="s">
        <v>135</v>
      </c>
      <c r="D156" s="57"/>
      <c r="E156" s="13"/>
      <c r="F156" s="13"/>
      <c r="G156" s="57"/>
      <c r="H156" s="57"/>
      <c r="I156" s="57"/>
      <c r="J156" s="57"/>
      <c r="K156" s="57"/>
      <c r="L156" s="6"/>
      <c r="M156" s="6"/>
      <c r="N156" s="6"/>
      <c r="O156" s="6"/>
      <c r="P156" s="6"/>
      <c r="Q156" s="6"/>
      <c r="R156" s="6"/>
    </row>
    <row r="157" spans="1:18" ht="15" thickBot="1" x14ac:dyDescent="0.35">
      <c r="A157" s="5"/>
      <c r="B157" s="4" t="s">
        <v>47</v>
      </c>
      <c r="C157" s="15" t="s">
        <v>135</v>
      </c>
      <c r="D157" s="57"/>
      <c r="E157" s="13"/>
      <c r="F157" s="13"/>
      <c r="G157" s="57"/>
      <c r="H157" s="57"/>
      <c r="I157" s="57"/>
      <c r="J157" s="57"/>
      <c r="K157" s="57"/>
      <c r="L157" s="6"/>
      <c r="M157" s="6"/>
      <c r="N157" s="6"/>
      <c r="O157" s="6"/>
      <c r="P157" s="6"/>
      <c r="Q157" s="6"/>
      <c r="R157" s="6"/>
    </row>
    <row r="158" spans="1:18" ht="15" thickBot="1" x14ac:dyDescent="0.35">
      <c r="A158" s="5"/>
      <c r="B158" s="4" t="s">
        <v>48</v>
      </c>
      <c r="C158" s="15" t="s">
        <v>135</v>
      </c>
      <c r="D158" s="57"/>
      <c r="E158" s="13"/>
      <c r="F158" s="13"/>
      <c r="G158" s="57"/>
      <c r="H158" s="57"/>
      <c r="I158" s="57"/>
      <c r="J158" s="57"/>
      <c r="K158" s="57"/>
      <c r="L158" s="6"/>
      <c r="M158" s="6"/>
      <c r="N158" s="6"/>
      <c r="O158" s="6"/>
      <c r="P158" s="6"/>
      <c r="Q158" s="6"/>
      <c r="R158" s="6"/>
    </row>
    <row r="159" spans="1:18" ht="15" thickBot="1" x14ac:dyDescent="0.35">
      <c r="A159" s="5"/>
      <c r="B159" s="3" t="s">
        <v>49</v>
      </c>
      <c r="C159" s="15" t="s">
        <v>136</v>
      </c>
      <c r="D159" s="57"/>
      <c r="E159" s="13"/>
      <c r="F159" s="13"/>
      <c r="G159" s="57"/>
      <c r="H159" s="57"/>
      <c r="I159" s="57"/>
      <c r="J159" s="57"/>
      <c r="K159" s="57"/>
      <c r="L159" s="6"/>
      <c r="M159" s="6"/>
      <c r="N159" s="6"/>
      <c r="O159" s="6"/>
      <c r="P159" s="6"/>
      <c r="Q159" s="6"/>
      <c r="R159" s="6"/>
    </row>
    <row r="160" spans="1:18" ht="15" thickBot="1" x14ac:dyDescent="0.35">
      <c r="A160" s="5"/>
      <c r="B160" s="4" t="s">
        <v>50</v>
      </c>
      <c r="C160" s="15" t="s">
        <v>3</v>
      </c>
      <c r="D160" s="57"/>
      <c r="E160" s="13"/>
      <c r="F160" s="13"/>
      <c r="G160" s="57"/>
      <c r="H160" s="57"/>
      <c r="I160" s="57"/>
      <c r="J160" s="57"/>
      <c r="K160" s="57"/>
      <c r="L160" s="6"/>
      <c r="M160" s="6"/>
      <c r="N160" s="6"/>
      <c r="O160" s="6"/>
      <c r="P160" s="6"/>
      <c r="Q160" s="6"/>
      <c r="R160" s="6"/>
    </row>
    <row r="161" spans="1:18" ht="15" thickBot="1" x14ac:dyDescent="0.35">
      <c r="A161" s="5"/>
      <c r="B161" s="4" t="s">
        <v>51</v>
      </c>
      <c r="C161" s="15" t="s">
        <v>3</v>
      </c>
      <c r="D161" s="57"/>
      <c r="E161" s="13"/>
      <c r="F161" s="13"/>
      <c r="G161" s="57"/>
      <c r="H161" s="57"/>
      <c r="I161" s="57"/>
      <c r="J161" s="57"/>
      <c r="K161" s="57"/>
      <c r="L161" s="6"/>
      <c r="M161" s="6"/>
      <c r="N161" s="6"/>
      <c r="O161" s="6"/>
      <c r="P161" s="6"/>
      <c r="Q161" s="6"/>
      <c r="R161" s="6"/>
    </row>
    <row r="162" spans="1:18" ht="15" thickBot="1" x14ac:dyDescent="0.35">
      <c r="A162" s="5"/>
      <c r="B162" s="4" t="s">
        <v>52</v>
      </c>
      <c r="C162" s="15" t="s">
        <v>135</v>
      </c>
      <c r="D162" s="57"/>
      <c r="E162" s="13"/>
      <c r="F162" s="13"/>
      <c r="G162" s="57"/>
      <c r="H162" s="57"/>
      <c r="I162" s="57"/>
      <c r="J162" s="57"/>
      <c r="K162" s="57"/>
      <c r="L162" s="6"/>
      <c r="M162" s="6"/>
      <c r="N162" s="6"/>
      <c r="O162" s="6"/>
      <c r="P162" s="6"/>
      <c r="Q162" s="6"/>
      <c r="R162" s="6"/>
    </row>
    <row r="163" spans="1:18" ht="15" thickBot="1" x14ac:dyDescent="0.35">
      <c r="A163" s="5"/>
      <c r="B163" s="4" t="s">
        <v>90</v>
      </c>
      <c r="C163" s="15" t="s">
        <v>135</v>
      </c>
      <c r="D163" s="57"/>
      <c r="E163" s="13"/>
      <c r="F163" s="13"/>
      <c r="G163" s="57"/>
      <c r="H163" s="57"/>
      <c r="I163" s="57"/>
      <c r="J163" s="57"/>
      <c r="K163" s="57"/>
      <c r="L163" s="6"/>
      <c r="M163" s="6"/>
      <c r="N163" s="6"/>
      <c r="O163" s="6"/>
      <c r="P163" s="6"/>
      <c r="Q163" s="6"/>
      <c r="R163" s="6"/>
    </row>
    <row r="164" spans="1:18" ht="15" thickBot="1" x14ac:dyDescent="0.35">
      <c r="A164" s="5"/>
      <c r="B164" s="4" t="s">
        <v>53</v>
      </c>
      <c r="C164" s="15" t="s">
        <v>13</v>
      </c>
      <c r="D164" s="57"/>
      <c r="E164" s="13"/>
      <c r="F164" s="13"/>
      <c r="G164" s="57"/>
      <c r="H164" s="57"/>
      <c r="I164" s="57"/>
      <c r="J164" s="57"/>
      <c r="K164" s="57"/>
      <c r="L164" s="6"/>
      <c r="M164" s="6"/>
      <c r="N164" s="6"/>
      <c r="O164" s="6"/>
      <c r="P164" s="6"/>
      <c r="Q164" s="6"/>
      <c r="R164" s="6"/>
    </row>
    <row r="165" spans="1:18" ht="15" thickBot="1" x14ac:dyDescent="0.35">
      <c r="A165" s="5"/>
      <c r="B165" s="2" t="s">
        <v>91</v>
      </c>
      <c r="C165" s="15" t="s">
        <v>3</v>
      </c>
      <c r="D165" s="57"/>
      <c r="E165" s="13"/>
      <c r="F165" s="13"/>
      <c r="G165" s="57"/>
      <c r="H165" s="57"/>
      <c r="I165" s="57"/>
      <c r="J165" s="57"/>
      <c r="K165" s="57"/>
      <c r="L165" s="6"/>
      <c r="M165" s="6"/>
      <c r="N165" s="6"/>
      <c r="O165" s="6"/>
      <c r="P165" s="6"/>
      <c r="Q165" s="6"/>
      <c r="R165" s="6"/>
    </row>
    <row r="166" spans="1:18" ht="15" thickBot="1" x14ac:dyDescent="0.35">
      <c r="A166" s="5"/>
      <c r="B166" s="2" t="s">
        <v>54</v>
      </c>
      <c r="C166" s="15" t="s">
        <v>135</v>
      </c>
      <c r="D166" s="57"/>
      <c r="E166" s="13"/>
      <c r="F166" s="13"/>
      <c r="G166" s="57"/>
      <c r="H166" s="57"/>
      <c r="I166" s="57"/>
      <c r="J166" s="57"/>
      <c r="K166" s="57"/>
      <c r="L166" s="6"/>
      <c r="M166" s="6"/>
      <c r="N166" s="6"/>
      <c r="O166" s="6"/>
      <c r="P166" s="6"/>
      <c r="Q166" s="6"/>
      <c r="R166" s="6"/>
    </row>
    <row r="167" spans="1:18" ht="15" thickBot="1" x14ac:dyDescent="0.35">
      <c r="A167" s="5"/>
      <c r="B167" s="2" t="s">
        <v>55</v>
      </c>
      <c r="C167" s="15" t="s">
        <v>135</v>
      </c>
      <c r="D167" s="57"/>
      <c r="E167" s="13"/>
      <c r="F167" s="13"/>
      <c r="G167" s="57"/>
      <c r="H167" s="57"/>
      <c r="I167" s="57"/>
      <c r="J167" s="57"/>
      <c r="K167" s="57"/>
      <c r="L167" s="6"/>
      <c r="M167" s="6"/>
      <c r="N167" s="6"/>
      <c r="O167" s="6"/>
      <c r="P167" s="6"/>
      <c r="Q167" s="6"/>
      <c r="R167" s="6"/>
    </row>
    <row r="168" spans="1:18" ht="15" thickBot="1" x14ac:dyDescent="0.35">
      <c r="A168" s="5"/>
      <c r="B168" s="2" t="s">
        <v>56</v>
      </c>
      <c r="C168" s="15" t="s">
        <v>3</v>
      </c>
      <c r="D168" s="57"/>
      <c r="E168" s="13"/>
      <c r="F168" s="13"/>
      <c r="G168" s="57"/>
      <c r="H168" s="57"/>
      <c r="I168" s="57"/>
      <c r="J168" s="57"/>
      <c r="K168" s="57"/>
      <c r="L168" s="6"/>
      <c r="M168" s="6"/>
      <c r="N168" s="6"/>
      <c r="O168" s="6"/>
      <c r="P168" s="6"/>
      <c r="Q168" s="6"/>
      <c r="R168" s="6"/>
    </row>
    <row r="169" spans="1:18" ht="15" thickBot="1" x14ac:dyDescent="0.35">
      <c r="A169" s="5"/>
      <c r="B169" s="2" t="s">
        <v>57</v>
      </c>
      <c r="C169" s="104" t="s">
        <v>3</v>
      </c>
      <c r="D169" s="57"/>
      <c r="E169" s="57"/>
      <c r="F169" s="57"/>
      <c r="G169" s="57"/>
      <c r="H169" s="57"/>
      <c r="I169" s="57"/>
      <c r="J169" s="57"/>
      <c r="K169" s="57"/>
      <c r="L169" s="6"/>
      <c r="M169" s="6"/>
      <c r="N169" s="6"/>
      <c r="O169" s="6"/>
      <c r="P169" s="6"/>
      <c r="Q169" s="6"/>
      <c r="R169" s="6"/>
    </row>
    <row r="170" spans="1:18" ht="15" thickBot="1" x14ac:dyDescent="0.35">
      <c r="A170" s="5"/>
      <c r="B170" s="4" t="s">
        <v>58</v>
      </c>
      <c r="C170" s="17" t="s">
        <v>3</v>
      </c>
      <c r="D170" s="57"/>
      <c r="E170" s="57"/>
      <c r="F170" s="57"/>
      <c r="G170" s="57"/>
      <c r="H170" s="57"/>
      <c r="I170" s="57"/>
      <c r="J170" s="57"/>
      <c r="K170" s="57"/>
      <c r="L170" s="6"/>
      <c r="M170" s="6"/>
      <c r="N170" s="6"/>
      <c r="O170" s="6"/>
      <c r="P170" s="6"/>
      <c r="Q170" s="6"/>
      <c r="R170" s="6"/>
    </row>
    <row r="171" spans="1:18" ht="15" thickBot="1" x14ac:dyDescent="0.35">
      <c r="A171" s="5"/>
      <c r="B171" s="2" t="s">
        <v>92</v>
      </c>
      <c r="C171" s="15" t="s">
        <v>135</v>
      </c>
      <c r="D171" s="57"/>
      <c r="E171" s="57"/>
      <c r="F171" s="57"/>
      <c r="G171" s="57"/>
      <c r="H171" s="57"/>
      <c r="I171" s="57"/>
      <c r="J171" s="57"/>
      <c r="K171" s="57"/>
      <c r="L171" s="6"/>
      <c r="M171" s="6"/>
      <c r="N171" s="6"/>
      <c r="O171" s="6"/>
      <c r="P171" s="6"/>
      <c r="Q171" s="6"/>
      <c r="R171" s="6"/>
    </row>
    <row r="172" spans="1:18" ht="15" thickBot="1" x14ac:dyDescent="0.35">
      <c r="A172" s="5"/>
      <c r="B172" s="4" t="s">
        <v>59</v>
      </c>
      <c r="C172" s="15" t="s">
        <v>135</v>
      </c>
      <c r="D172" s="57"/>
      <c r="E172" s="57"/>
      <c r="F172" s="57"/>
      <c r="G172" s="57"/>
      <c r="H172" s="57"/>
      <c r="I172" s="57"/>
      <c r="J172" s="57"/>
      <c r="K172" s="57"/>
      <c r="L172" s="6"/>
      <c r="M172" s="6"/>
      <c r="N172" s="6"/>
      <c r="O172" s="6"/>
      <c r="P172" s="6"/>
      <c r="Q172" s="6"/>
      <c r="R172" s="6"/>
    </row>
    <row r="173" spans="1:18" ht="15" thickBot="1" x14ac:dyDescent="0.35">
      <c r="A173" s="5"/>
      <c r="B173" s="4" t="s">
        <v>60</v>
      </c>
      <c r="C173" s="15" t="s">
        <v>3</v>
      </c>
      <c r="D173" s="57"/>
      <c r="E173" s="57"/>
      <c r="F173" s="57"/>
      <c r="G173" s="57"/>
      <c r="H173" s="57"/>
      <c r="I173" s="57"/>
      <c r="J173" s="57"/>
      <c r="K173" s="57"/>
      <c r="L173" s="6"/>
      <c r="M173" s="6"/>
      <c r="N173" s="6"/>
      <c r="O173" s="6"/>
      <c r="P173" s="6"/>
      <c r="Q173" s="6"/>
      <c r="R173" s="6"/>
    </row>
    <row r="174" spans="1:18" ht="15" thickBot="1" x14ac:dyDescent="0.35">
      <c r="A174" s="5"/>
      <c r="B174" s="4" t="s">
        <v>61</v>
      </c>
      <c r="C174" s="15" t="s">
        <v>135</v>
      </c>
      <c r="D174" s="57"/>
      <c r="E174" s="57"/>
      <c r="F174" s="57"/>
      <c r="G174" s="57"/>
      <c r="H174" s="57"/>
      <c r="I174" s="57"/>
      <c r="J174" s="57"/>
      <c r="K174" s="57"/>
      <c r="L174" s="6"/>
      <c r="M174" s="6"/>
      <c r="N174" s="6"/>
      <c r="O174" s="6"/>
      <c r="P174" s="6"/>
      <c r="Q174" s="6"/>
      <c r="R174" s="6"/>
    </row>
    <row r="175" spans="1:18" ht="15" thickBot="1" x14ac:dyDescent="0.35">
      <c r="A175" s="5"/>
      <c r="B175" s="4" t="s">
        <v>62</v>
      </c>
      <c r="C175" s="15" t="s">
        <v>135</v>
      </c>
      <c r="D175" s="57"/>
      <c r="E175" s="57"/>
      <c r="F175" s="57"/>
      <c r="G175" s="57"/>
      <c r="H175" s="57"/>
      <c r="I175" s="57"/>
      <c r="J175" s="57"/>
      <c r="K175" s="57"/>
      <c r="L175" s="6"/>
      <c r="M175" s="6"/>
      <c r="N175" s="6"/>
      <c r="O175" s="6"/>
      <c r="P175" s="6"/>
      <c r="Q175" s="6"/>
      <c r="R175" s="6"/>
    </row>
    <row r="176" spans="1:18" ht="15" thickBot="1" x14ac:dyDescent="0.35">
      <c r="A176" s="5"/>
      <c r="B176" s="4" t="s">
        <v>63</v>
      </c>
      <c r="C176" s="15" t="s">
        <v>135</v>
      </c>
      <c r="D176" s="57"/>
      <c r="E176" s="57"/>
      <c r="F176" s="57"/>
      <c r="G176" s="57"/>
      <c r="H176" s="57"/>
      <c r="I176" s="57"/>
      <c r="J176" s="57"/>
      <c r="K176" s="57"/>
      <c r="L176" s="6"/>
      <c r="M176" s="6"/>
      <c r="N176" s="6"/>
      <c r="O176" s="6"/>
      <c r="P176" s="6"/>
      <c r="Q176" s="6"/>
      <c r="R176" s="6"/>
    </row>
    <row r="177" spans="1:18" ht="15" thickBot="1" x14ac:dyDescent="0.35">
      <c r="A177" s="5"/>
      <c r="B177" s="4" t="s">
        <v>64</v>
      </c>
      <c r="C177" s="15" t="s">
        <v>135</v>
      </c>
      <c r="D177" s="57"/>
      <c r="E177" s="57"/>
      <c r="F177" s="57"/>
      <c r="G177" s="57"/>
      <c r="H177" s="57"/>
      <c r="I177" s="57"/>
      <c r="J177" s="57"/>
      <c r="K177" s="57"/>
      <c r="L177" s="6"/>
      <c r="M177" s="6"/>
      <c r="N177" s="6"/>
      <c r="O177" s="6"/>
      <c r="P177" s="6"/>
      <c r="Q177" s="6"/>
      <c r="R177" s="6"/>
    </row>
    <row r="178" spans="1:18" ht="15" thickBot="1" x14ac:dyDescent="0.35">
      <c r="A178" s="5"/>
      <c r="B178" s="3" t="s">
        <v>65</v>
      </c>
      <c r="C178" s="15" t="s">
        <v>136</v>
      </c>
      <c r="D178" s="57"/>
      <c r="E178" s="57"/>
      <c r="F178" s="57"/>
      <c r="G178" s="57"/>
      <c r="H178" s="57"/>
      <c r="I178" s="57"/>
      <c r="J178" s="57"/>
      <c r="K178" s="57"/>
      <c r="L178" s="6"/>
      <c r="M178" s="6"/>
      <c r="N178" s="6"/>
      <c r="O178" s="6"/>
      <c r="P178" s="6"/>
      <c r="Q178" s="6"/>
      <c r="R178" s="6"/>
    </row>
    <row r="179" spans="1:18" ht="15" thickBot="1" x14ac:dyDescent="0.35">
      <c r="A179" s="5"/>
      <c r="B179" s="4" t="s">
        <v>66</v>
      </c>
      <c r="C179" s="15" t="s">
        <v>3</v>
      </c>
      <c r="D179" s="57"/>
      <c r="E179" s="57"/>
      <c r="F179" s="57"/>
      <c r="G179" s="57"/>
      <c r="H179" s="57"/>
      <c r="I179" s="57"/>
      <c r="J179" s="57"/>
      <c r="K179" s="57"/>
      <c r="L179" s="6"/>
      <c r="M179" s="6"/>
      <c r="N179" s="6"/>
      <c r="O179" s="6"/>
      <c r="P179" s="6"/>
      <c r="Q179" s="6"/>
      <c r="R179" s="6"/>
    </row>
    <row r="180" spans="1:18" ht="15" thickBot="1" x14ac:dyDescent="0.35">
      <c r="A180" s="5"/>
      <c r="B180" s="4" t="s">
        <v>67</v>
      </c>
      <c r="C180" s="15" t="s">
        <v>135</v>
      </c>
      <c r="D180" s="57"/>
      <c r="E180" s="57"/>
      <c r="F180" s="57"/>
      <c r="G180" s="57"/>
      <c r="H180" s="57"/>
      <c r="I180" s="57"/>
      <c r="J180" s="57"/>
      <c r="K180" s="57"/>
      <c r="L180" s="6"/>
      <c r="M180" s="6"/>
      <c r="N180" s="6"/>
      <c r="O180" s="6"/>
      <c r="P180" s="6"/>
      <c r="Q180" s="6"/>
      <c r="R180" s="6"/>
    </row>
    <row r="181" spans="1:18" ht="15" thickBot="1" x14ac:dyDescent="0.35">
      <c r="A181" s="5"/>
      <c r="B181" s="1" t="s">
        <v>68</v>
      </c>
      <c r="C181" s="15" t="s">
        <v>135</v>
      </c>
      <c r="D181" s="57"/>
      <c r="E181" s="57"/>
      <c r="F181" s="57"/>
      <c r="G181" s="57"/>
      <c r="H181" s="57"/>
      <c r="I181" s="57"/>
      <c r="J181" s="57"/>
      <c r="K181" s="57"/>
      <c r="L181" s="6"/>
      <c r="M181" s="6"/>
      <c r="N181" s="6"/>
      <c r="O181" s="6"/>
      <c r="P181" s="6"/>
      <c r="Q181" s="6"/>
      <c r="R181" s="6"/>
    </row>
    <row r="182" spans="1:18" ht="15" thickBot="1" x14ac:dyDescent="0.35">
      <c r="A182" s="5"/>
      <c r="B182" s="4" t="s">
        <v>69</v>
      </c>
      <c r="C182" s="15" t="s">
        <v>137</v>
      </c>
      <c r="D182" s="57"/>
      <c r="E182" s="57"/>
      <c r="F182" s="57"/>
      <c r="G182" s="57"/>
      <c r="H182" s="57"/>
      <c r="I182" s="57"/>
      <c r="J182" s="57"/>
      <c r="K182" s="57"/>
      <c r="L182" s="6"/>
      <c r="M182" s="6"/>
      <c r="N182" s="6"/>
      <c r="O182" s="6"/>
      <c r="P182" s="6"/>
      <c r="Q182" s="6"/>
      <c r="R182" s="6"/>
    </row>
    <row r="183" spans="1:18" ht="15" thickBot="1" x14ac:dyDescent="0.35">
      <c r="A183" s="5"/>
      <c r="B183" s="4" t="s">
        <v>70</v>
      </c>
      <c r="C183" s="15" t="s">
        <v>135</v>
      </c>
      <c r="D183" s="57"/>
      <c r="E183" s="57"/>
      <c r="F183" s="57"/>
      <c r="G183" s="57"/>
      <c r="H183" s="57"/>
      <c r="I183" s="57"/>
      <c r="J183" s="57"/>
      <c r="K183" s="57"/>
      <c r="L183" s="6"/>
      <c r="M183" s="6"/>
      <c r="N183" s="6"/>
      <c r="O183" s="6"/>
      <c r="P183" s="6"/>
      <c r="Q183" s="6"/>
      <c r="R183" s="6"/>
    </row>
    <row r="184" spans="1:18" ht="15" thickBot="1" x14ac:dyDescent="0.35">
      <c r="A184" s="5"/>
      <c r="B184" s="3" t="s">
        <v>71</v>
      </c>
      <c r="C184" s="15" t="s">
        <v>136</v>
      </c>
      <c r="D184" s="57"/>
      <c r="E184" s="57"/>
      <c r="F184" s="57"/>
      <c r="G184" s="57"/>
      <c r="H184" s="57"/>
      <c r="I184" s="57"/>
      <c r="J184" s="57"/>
      <c r="K184" s="57"/>
      <c r="L184" s="6"/>
      <c r="M184" s="6"/>
      <c r="N184" s="6"/>
      <c r="O184" s="6"/>
      <c r="P184" s="6"/>
      <c r="Q184" s="6"/>
      <c r="R184" s="6"/>
    </row>
    <row r="185" spans="1:18" ht="15" thickBot="1" x14ac:dyDescent="0.35">
      <c r="A185" s="5"/>
      <c r="B185" s="3" t="s">
        <v>72</v>
      </c>
      <c r="C185" s="15" t="s">
        <v>136</v>
      </c>
      <c r="D185" s="57"/>
      <c r="E185" s="57"/>
      <c r="F185" s="57"/>
      <c r="G185" s="57"/>
      <c r="H185" s="57"/>
      <c r="I185" s="57"/>
      <c r="J185" s="57"/>
      <c r="K185" s="57"/>
      <c r="L185" s="6"/>
      <c r="M185" s="6"/>
      <c r="N185" s="6"/>
      <c r="O185" s="6"/>
      <c r="P185" s="6"/>
      <c r="Q185" s="6"/>
      <c r="R185" s="6"/>
    </row>
    <row r="186" spans="1:18" ht="15" thickBot="1" x14ac:dyDescent="0.35">
      <c r="A186" s="5"/>
      <c r="B186" s="4" t="s">
        <v>73</v>
      </c>
      <c r="C186" s="15" t="s">
        <v>3</v>
      </c>
      <c r="D186" s="57"/>
      <c r="E186" s="57"/>
      <c r="F186" s="57"/>
      <c r="G186" s="57"/>
      <c r="H186" s="57"/>
      <c r="I186" s="57"/>
      <c r="J186" s="57"/>
      <c r="K186" s="57"/>
      <c r="L186" s="6"/>
      <c r="M186" s="6"/>
      <c r="N186" s="6"/>
      <c r="O186" s="6"/>
      <c r="P186" s="6"/>
      <c r="Q186" s="6"/>
      <c r="R186" s="6"/>
    </row>
    <row r="187" spans="1:18" ht="15" thickBot="1" x14ac:dyDescent="0.35">
      <c r="A187" s="5"/>
      <c r="B187" s="4" t="s">
        <v>74</v>
      </c>
      <c r="C187" s="15" t="s">
        <v>135</v>
      </c>
      <c r="D187" s="57"/>
      <c r="E187" s="57"/>
      <c r="F187" s="57"/>
      <c r="G187" s="57"/>
      <c r="H187" s="57"/>
      <c r="I187" s="57"/>
      <c r="J187" s="57"/>
      <c r="K187" s="57"/>
      <c r="L187" s="6"/>
      <c r="M187" s="6"/>
      <c r="N187" s="6"/>
      <c r="O187" s="6"/>
      <c r="P187" s="6"/>
      <c r="Q187" s="6"/>
      <c r="R187" s="6"/>
    </row>
    <row r="188" spans="1:18" ht="15" thickBot="1" x14ac:dyDescent="0.35">
      <c r="A188" s="5"/>
      <c r="B188" s="4" t="s">
        <v>75</v>
      </c>
      <c r="C188" s="15" t="s">
        <v>138</v>
      </c>
      <c r="D188" s="57"/>
      <c r="E188" s="57"/>
      <c r="F188" s="57"/>
      <c r="G188" s="57"/>
      <c r="H188" s="57"/>
      <c r="I188" s="57"/>
      <c r="J188" s="57"/>
      <c r="K188" s="57"/>
      <c r="L188" s="6"/>
      <c r="M188" s="6"/>
      <c r="N188" s="6"/>
      <c r="O188" s="6"/>
      <c r="P188" s="6"/>
      <c r="Q188" s="6"/>
      <c r="R188" s="6"/>
    </row>
    <row r="189" spans="1:18" ht="15" thickBot="1" x14ac:dyDescent="0.35">
      <c r="A189" s="5"/>
      <c r="B189" s="4" t="s">
        <v>76</v>
      </c>
      <c r="C189" s="15" t="s">
        <v>3</v>
      </c>
      <c r="D189" s="57"/>
      <c r="E189" s="57"/>
      <c r="F189" s="57"/>
      <c r="G189" s="57"/>
      <c r="H189" s="57"/>
      <c r="I189" s="57"/>
      <c r="J189" s="57"/>
      <c r="K189" s="57"/>
      <c r="L189" s="6"/>
      <c r="M189" s="6"/>
      <c r="N189" s="6"/>
      <c r="O189" s="6"/>
      <c r="P189" s="6"/>
      <c r="Q189" s="6"/>
      <c r="R189" s="6"/>
    </row>
    <row r="190" spans="1:18" ht="15" thickBot="1" x14ac:dyDescent="0.35">
      <c r="A190" s="5"/>
      <c r="B190" s="4" t="s">
        <v>77</v>
      </c>
      <c r="C190" s="15" t="s">
        <v>137</v>
      </c>
      <c r="D190" s="57"/>
      <c r="E190" s="57"/>
      <c r="F190" s="57"/>
      <c r="G190" s="57"/>
      <c r="H190" s="57"/>
      <c r="I190" s="57"/>
      <c r="J190" s="57"/>
      <c r="K190" s="57"/>
      <c r="L190" s="6"/>
      <c r="M190" s="6"/>
      <c r="N190" s="6"/>
      <c r="O190" s="6"/>
      <c r="P190" s="6"/>
      <c r="Q190" s="6"/>
      <c r="R190" s="6"/>
    </row>
    <row r="191" spans="1:18" ht="15" thickBot="1" x14ac:dyDescent="0.35">
      <c r="A191" s="5"/>
      <c r="B191" s="4" t="s">
        <v>93</v>
      </c>
      <c r="C191" s="15" t="s">
        <v>135</v>
      </c>
      <c r="D191" s="57"/>
      <c r="E191" s="57"/>
      <c r="F191" s="57"/>
      <c r="G191" s="57"/>
      <c r="H191" s="57"/>
      <c r="I191" s="57"/>
      <c r="J191" s="57"/>
      <c r="K191" s="57"/>
      <c r="L191" s="6"/>
      <c r="M191" s="6"/>
      <c r="N191" s="6"/>
      <c r="O191" s="6"/>
      <c r="P191" s="6"/>
      <c r="Q191" s="6"/>
      <c r="R191" s="6"/>
    </row>
    <row r="192" spans="1:18" ht="15" thickBot="1" x14ac:dyDescent="0.35">
      <c r="A192" s="5"/>
      <c r="B192" s="4" t="s">
        <v>118</v>
      </c>
      <c r="C192" s="15" t="s">
        <v>135</v>
      </c>
      <c r="D192" s="57"/>
      <c r="E192" s="57"/>
      <c r="F192" s="57"/>
      <c r="G192" s="57"/>
      <c r="H192" s="57"/>
      <c r="I192" s="57"/>
      <c r="J192" s="57"/>
      <c r="K192" s="57"/>
      <c r="L192" s="6"/>
      <c r="M192" s="6"/>
      <c r="N192" s="6"/>
      <c r="O192" s="6"/>
      <c r="P192" s="6"/>
      <c r="Q192" s="6"/>
      <c r="R192" s="6"/>
    </row>
    <row r="193" spans="1:18" ht="15" thickBot="1" x14ac:dyDescent="0.35">
      <c r="A193" s="5"/>
      <c r="B193" s="4" t="s">
        <v>119</v>
      </c>
      <c r="C193" s="15" t="s">
        <v>135</v>
      </c>
      <c r="D193" s="57"/>
      <c r="E193" s="57"/>
      <c r="F193" s="57"/>
      <c r="G193" s="57"/>
      <c r="H193" s="57"/>
      <c r="I193" s="57"/>
      <c r="J193" s="57"/>
      <c r="K193" s="57"/>
      <c r="L193" s="6"/>
      <c r="M193" s="6"/>
      <c r="N193" s="6"/>
      <c r="O193" s="6"/>
      <c r="P193" s="6"/>
      <c r="Q193" s="6"/>
      <c r="R193" s="6"/>
    </row>
    <row r="194" spans="1:18" ht="15" thickBot="1" x14ac:dyDescent="0.35">
      <c r="A194" s="5"/>
      <c r="B194" s="4" t="s">
        <v>121</v>
      </c>
      <c r="C194" s="15" t="s">
        <v>135</v>
      </c>
      <c r="D194" s="57"/>
      <c r="E194" s="57"/>
      <c r="F194" s="57"/>
      <c r="G194" s="57"/>
      <c r="H194" s="57"/>
      <c r="I194" s="57"/>
      <c r="J194" s="57"/>
      <c r="K194" s="57"/>
      <c r="L194" s="6"/>
      <c r="M194" s="6"/>
      <c r="N194" s="6"/>
      <c r="O194" s="6"/>
      <c r="P194" s="6"/>
      <c r="Q194" s="6"/>
      <c r="R194" s="6"/>
    </row>
    <row r="195" spans="1:18" ht="15" thickBot="1" x14ac:dyDescent="0.35">
      <c r="A195" s="5"/>
      <c r="B195" s="4" t="s">
        <v>132</v>
      </c>
      <c r="C195" s="15" t="s">
        <v>135</v>
      </c>
      <c r="D195" s="57"/>
      <c r="E195" s="57"/>
      <c r="F195" s="57"/>
      <c r="G195" s="57"/>
      <c r="H195" s="57"/>
      <c r="I195" s="57"/>
      <c r="J195" s="57"/>
      <c r="K195" s="57"/>
      <c r="L195" s="6"/>
      <c r="M195" s="6"/>
      <c r="N195" s="6"/>
      <c r="O195" s="6"/>
      <c r="P195" s="6"/>
      <c r="Q195" s="6"/>
      <c r="R195" s="6"/>
    </row>
    <row r="196" spans="1:18" ht="15" thickBot="1" x14ac:dyDescent="0.35">
      <c r="A196" s="5"/>
      <c r="B196" s="4" t="s">
        <v>123</v>
      </c>
      <c r="C196" s="15" t="s">
        <v>135</v>
      </c>
      <c r="D196" s="57"/>
      <c r="E196" s="57"/>
      <c r="F196" s="57"/>
      <c r="G196" s="57"/>
      <c r="H196" s="57"/>
      <c r="I196" s="57"/>
      <c r="J196" s="57"/>
      <c r="K196" s="57"/>
      <c r="L196" s="6"/>
      <c r="M196" s="6"/>
      <c r="N196" s="6"/>
      <c r="O196" s="6"/>
      <c r="P196" s="6"/>
      <c r="Q196" s="6"/>
      <c r="R196" s="6"/>
    </row>
    <row r="197" spans="1:18" ht="15" thickBot="1" x14ac:dyDescent="0.35">
      <c r="A197" s="5"/>
      <c r="B197" s="4" t="s">
        <v>127</v>
      </c>
      <c r="C197" s="15" t="s">
        <v>135</v>
      </c>
      <c r="D197" s="57"/>
      <c r="E197" s="57"/>
      <c r="F197" s="57"/>
      <c r="G197" s="57"/>
      <c r="H197" s="57"/>
      <c r="I197" s="57"/>
      <c r="J197" s="57"/>
      <c r="K197" s="57"/>
      <c r="L197" s="6"/>
      <c r="M197" s="6"/>
      <c r="N197" s="6"/>
      <c r="O197" s="6"/>
      <c r="P197" s="6"/>
      <c r="Q197" s="6"/>
      <c r="R197" s="6"/>
    </row>
    <row r="198" spans="1:18" ht="15" thickBot="1" x14ac:dyDescent="0.35">
      <c r="A198" s="5"/>
      <c r="B198" s="4" t="s">
        <v>131</v>
      </c>
      <c r="C198" s="15" t="s">
        <v>135</v>
      </c>
      <c r="D198" s="57"/>
      <c r="E198" s="57"/>
      <c r="F198" s="57"/>
      <c r="G198" s="57"/>
      <c r="H198" s="57"/>
      <c r="I198" s="57"/>
      <c r="J198" s="57"/>
      <c r="K198" s="57"/>
      <c r="L198" s="6"/>
      <c r="M198" s="6"/>
      <c r="N198" s="6"/>
      <c r="O198" s="6"/>
      <c r="P198" s="6"/>
      <c r="Q198" s="6"/>
      <c r="R198" s="6"/>
    </row>
    <row r="199" spans="1:18" ht="15" thickBot="1" x14ac:dyDescent="0.35">
      <c r="A199" s="5"/>
      <c r="B199" s="3" t="s">
        <v>133</v>
      </c>
      <c r="C199" s="15" t="s">
        <v>136</v>
      </c>
      <c r="D199" s="57"/>
      <c r="E199" s="57"/>
      <c r="F199" s="57"/>
      <c r="G199" s="57"/>
      <c r="H199" s="57"/>
      <c r="I199" s="57"/>
      <c r="J199" s="57"/>
      <c r="K199" s="57"/>
      <c r="L199" s="6"/>
      <c r="M199" s="6"/>
      <c r="N199" s="6"/>
      <c r="O199" s="6"/>
      <c r="P199" s="6"/>
      <c r="Q199" s="6"/>
      <c r="R199" s="6"/>
    </row>
    <row r="200" spans="1:18" ht="15" thickBot="1" x14ac:dyDescent="0.35">
      <c r="A200" s="5"/>
      <c r="B200" s="3" t="s">
        <v>125</v>
      </c>
      <c r="C200" s="15" t="s">
        <v>136</v>
      </c>
      <c r="D200" s="57"/>
      <c r="E200" s="57"/>
      <c r="F200" s="57"/>
      <c r="G200" s="57"/>
      <c r="H200" s="57"/>
      <c r="I200" s="57"/>
      <c r="J200" s="57"/>
      <c r="K200" s="57"/>
      <c r="L200" s="6"/>
      <c r="M200" s="6"/>
      <c r="N200" s="6"/>
      <c r="O200" s="6"/>
      <c r="P200" s="6"/>
      <c r="Q200" s="6"/>
      <c r="R200" s="6"/>
    </row>
    <row r="201" spans="1:18" ht="15" thickBot="1" x14ac:dyDescent="0.35">
      <c r="A201" s="5"/>
      <c r="B201" s="3" t="s">
        <v>129</v>
      </c>
      <c r="C201" s="15" t="s">
        <v>136</v>
      </c>
      <c r="D201" s="57"/>
      <c r="E201" s="57"/>
      <c r="F201" s="57"/>
      <c r="G201" s="57"/>
      <c r="H201" s="57"/>
      <c r="I201" s="57"/>
      <c r="J201" s="57"/>
      <c r="K201" s="57"/>
      <c r="L201" s="6"/>
      <c r="M201" s="6"/>
      <c r="N201" s="6"/>
      <c r="O201" s="6"/>
      <c r="P201" s="6"/>
      <c r="Q201" s="6"/>
      <c r="R201" s="6"/>
    </row>
    <row r="202" spans="1:18" ht="15" thickBot="1" x14ac:dyDescent="0.35">
      <c r="A202" s="5"/>
      <c r="B202" s="4" t="s">
        <v>116</v>
      </c>
      <c r="C202" s="15" t="s">
        <v>3</v>
      </c>
      <c r="D202" s="57"/>
      <c r="E202" s="57"/>
      <c r="F202" s="57"/>
      <c r="G202" s="57"/>
      <c r="H202" s="57"/>
      <c r="I202" s="57"/>
      <c r="J202" s="57"/>
      <c r="K202" s="57"/>
      <c r="L202" s="6"/>
      <c r="M202" s="6"/>
      <c r="N202" s="6"/>
      <c r="O202" s="6"/>
      <c r="P202" s="6"/>
      <c r="Q202" s="6"/>
      <c r="R202" s="6"/>
    </row>
    <row r="203" spans="1:18" ht="15" thickBot="1" x14ac:dyDescent="0.35">
      <c r="A203" s="5"/>
      <c r="B203" s="4" t="s">
        <v>117</v>
      </c>
      <c r="C203" s="15" t="s">
        <v>3</v>
      </c>
      <c r="D203" s="57"/>
      <c r="E203" s="57"/>
      <c r="F203" s="57"/>
      <c r="G203" s="57"/>
      <c r="H203" s="57"/>
      <c r="I203" s="57"/>
      <c r="J203" s="57"/>
      <c r="K203" s="57"/>
      <c r="L203" s="6"/>
      <c r="M203" s="6"/>
      <c r="N203" s="6"/>
      <c r="O203" s="6"/>
      <c r="P203" s="6"/>
      <c r="Q203" s="6"/>
      <c r="R203" s="6"/>
    </row>
    <row r="204" spans="1:18" ht="15" thickBot="1" x14ac:dyDescent="0.35">
      <c r="A204" s="5"/>
      <c r="B204" s="4" t="s">
        <v>120</v>
      </c>
      <c r="C204" s="15" t="s">
        <v>3</v>
      </c>
      <c r="D204" s="57"/>
      <c r="E204" s="57"/>
      <c r="F204" s="57"/>
      <c r="G204" s="57"/>
      <c r="H204" s="57"/>
      <c r="I204" s="57"/>
      <c r="J204" s="57"/>
      <c r="K204" s="57"/>
      <c r="L204" s="6"/>
      <c r="M204" s="6"/>
      <c r="N204" s="6"/>
      <c r="O204" s="6"/>
      <c r="P204" s="6"/>
      <c r="Q204" s="6"/>
      <c r="R204" s="6"/>
    </row>
    <row r="205" spans="1:18" ht="15" thickBot="1" x14ac:dyDescent="0.35">
      <c r="A205" s="5"/>
      <c r="B205" s="4" t="s">
        <v>122</v>
      </c>
      <c r="C205" s="15" t="s">
        <v>3</v>
      </c>
      <c r="D205" s="57"/>
      <c r="E205" s="57"/>
      <c r="F205" s="57"/>
      <c r="G205" s="57"/>
      <c r="H205" s="57"/>
      <c r="I205" s="57"/>
      <c r="J205" s="57"/>
      <c r="K205" s="57"/>
      <c r="L205" s="6"/>
      <c r="M205" s="6"/>
      <c r="N205" s="6"/>
      <c r="O205" s="6"/>
      <c r="P205" s="6"/>
      <c r="Q205" s="6"/>
      <c r="R205" s="6"/>
    </row>
    <row r="206" spans="1:18" ht="15" thickBot="1" x14ac:dyDescent="0.35">
      <c r="A206" s="5"/>
      <c r="B206" s="4" t="s">
        <v>130</v>
      </c>
      <c r="C206" s="15" t="s">
        <v>3</v>
      </c>
      <c r="D206" s="57"/>
      <c r="E206" s="57"/>
      <c r="F206" s="57"/>
      <c r="G206" s="57"/>
      <c r="H206" s="57"/>
      <c r="I206" s="57"/>
      <c r="J206" s="57"/>
      <c r="K206" s="57"/>
      <c r="L206" s="6"/>
      <c r="M206" s="6"/>
      <c r="N206" s="6"/>
      <c r="O206" s="6"/>
      <c r="P206" s="6"/>
      <c r="Q206" s="6"/>
      <c r="R206" s="6"/>
    </row>
    <row r="207" spans="1:18" ht="15" thickBot="1" x14ac:dyDescent="0.35">
      <c r="A207" s="5"/>
      <c r="B207" s="4" t="s">
        <v>124</v>
      </c>
      <c r="C207" s="15" t="s">
        <v>3</v>
      </c>
      <c r="D207" s="57"/>
      <c r="E207" s="57"/>
      <c r="F207" s="57"/>
      <c r="G207" s="57"/>
      <c r="H207" s="57"/>
      <c r="I207" s="57"/>
      <c r="J207" s="57"/>
      <c r="K207" s="57"/>
      <c r="L207" s="6"/>
      <c r="M207" s="6"/>
      <c r="N207" s="6"/>
      <c r="O207" s="6"/>
      <c r="P207" s="6"/>
      <c r="Q207" s="6"/>
      <c r="R207" s="6"/>
    </row>
    <row r="208" spans="1:18" ht="15" thickBot="1" x14ac:dyDescent="0.35">
      <c r="A208" s="5"/>
      <c r="B208" s="4" t="s">
        <v>126</v>
      </c>
      <c r="C208" s="15" t="s">
        <v>3</v>
      </c>
      <c r="D208" s="57"/>
      <c r="E208" s="57"/>
      <c r="F208" s="57"/>
      <c r="G208" s="57"/>
      <c r="H208" s="57"/>
      <c r="I208" s="57"/>
      <c r="J208" s="57"/>
      <c r="K208" s="57"/>
      <c r="L208" s="6"/>
      <c r="M208" s="6"/>
      <c r="N208" s="6"/>
      <c r="O208" s="6"/>
      <c r="P208" s="6"/>
      <c r="Q208" s="6"/>
      <c r="R208" s="6"/>
    </row>
    <row r="209" spans="1:18" ht="15" thickBot="1" x14ac:dyDescent="0.35">
      <c r="A209" s="5"/>
      <c r="B209" s="4" t="s">
        <v>128</v>
      </c>
      <c r="C209" s="15" t="s">
        <v>3</v>
      </c>
      <c r="D209" s="57"/>
      <c r="E209" s="57"/>
      <c r="F209" s="57"/>
      <c r="G209" s="57"/>
      <c r="H209" s="57"/>
      <c r="I209" s="57"/>
      <c r="J209" s="57"/>
      <c r="K209" s="57"/>
      <c r="L209" s="6"/>
      <c r="M209" s="6"/>
      <c r="N209" s="6"/>
      <c r="O209" s="6"/>
      <c r="P209" s="6"/>
      <c r="Q209" s="6"/>
      <c r="R209" s="6"/>
    </row>
    <row r="210" spans="1:18" x14ac:dyDescent="0.3">
      <c r="A210" s="6"/>
      <c r="B210" s="12"/>
      <c r="C210" s="13"/>
      <c r="D210" s="57"/>
      <c r="E210" s="57"/>
      <c r="F210" s="57"/>
      <c r="G210" s="57"/>
      <c r="H210" s="57"/>
      <c r="I210" s="57"/>
      <c r="J210" s="57"/>
      <c r="K210" s="57"/>
      <c r="L210" s="6"/>
      <c r="M210" s="6"/>
      <c r="N210" s="6"/>
      <c r="O210" s="6"/>
      <c r="P210" s="6"/>
      <c r="Q210" s="6"/>
      <c r="R210" s="6"/>
    </row>
    <row r="211" spans="1:18" x14ac:dyDescent="0.3">
      <c r="A211" s="6"/>
      <c r="B211" s="12"/>
      <c r="C211" s="13"/>
      <c r="D211" s="57"/>
      <c r="E211" s="57"/>
      <c r="F211" s="57"/>
      <c r="G211" s="57"/>
      <c r="H211" s="57"/>
      <c r="I211" s="57"/>
      <c r="J211" s="57"/>
      <c r="K211" s="57"/>
      <c r="L211" s="6"/>
      <c r="M211" s="6"/>
      <c r="N211" s="6"/>
      <c r="O211" s="6"/>
      <c r="P211" s="6"/>
      <c r="Q211" s="6"/>
      <c r="R211" s="6"/>
    </row>
    <row r="212" spans="1:18" x14ac:dyDescent="0.3">
      <c r="A212" s="6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6"/>
      <c r="M212" s="6"/>
      <c r="N212" s="6"/>
      <c r="O212" s="6"/>
      <c r="P212" s="6"/>
      <c r="Q212" s="6"/>
      <c r="R212" s="6"/>
    </row>
    <row r="213" spans="1:18" x14ac:dyDescent="0.3">
      <c r="A213" s="6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6"/>
      <c r="M213" s="6"/>
      <c r="N213" s="6"/>
      <c r="O213" s="6"/>
      <c r="P213" s="6"/>
      <c r="Q213" s="6"/>
      <c r="R213" s="6"/>
    </row>
  </sheetData>
  <mergeCells count="3">
    <mergeCell ref="E117:F117"/>
    <mergeCell ref="A85:A95"/>
    <mergeCell ref="A98:A1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F1D2-BAB8-4720-884A-69F68973343D}">
  <dimension ref="A1:H444"/>
  <sheetViews>
    <sheetView topLeftCell="A50" workbookViewId="0">
      <selection activeCell="H53" sqref="H53"/>
    </sheetView>
  </sheetViews>
  <sheetFormatPr defaultColWidth="98.21875" defaultRowHeight="14.4" x14ac:dyDescent="0.3"/>
  <cols>
    <col min="1" max="1" width="13.88671875" bestFit="1" customWidth="1"/>
    <col min="2" max="2" width="21.109375" bestFit="1" customWidth="1"/>
    <col min="3" max="3" width="19.44140625" bestFit="1" customWidth="1"/>
    <col min="4" max="4" width="41.109375" bestFit="1" customWidth="1"/>
    <col min="5" max="5" width="13.88671875" bestFit="1" customWidth="1"/>
    <col min="6" max="6" width="21.109375" bestFit="1" customWidth="1"/>
    <col min="7" max="7" width="38.33203125" customWidth="1"/>
    <col min="8" max="8" width="17.6640625" customWidth="1"/>
    <col min="9" max="10" width="5" customWidth="1"/>
    <col min="17" max="17" width="5" customWidth="1"/>
  </cols>
  <sheetData>
    <row r="1" spans="1:8" ht="15" thickBot="1" x14ac:dyDescent="0.35">
      <c r="A1" s="18" t="s">
        <v>143</v>
      </c>
      <c r="B1" s="19">
        <v>959</v>
      </c>
      <c r="C1" s="20"/>
      <c r="D1" s="21">
        <v>68</v>
      </c>
      <c r="E1" s="18" t="s">
        <v>143</v>
      </c>
      <c r="F1" s="19">
        <v>959</v>
      </c>
    </row>
    <row r="2" spans="1:8" x14ac:dyDescent="0.3">
      <c r="A2" s="43" t="s">
        <v>144</v>
      </c>
      <c r="B2" s="43" t="s">
        <v>145</v>
      </c>
      <c r="C2" s="43"/>
      <c r="D2" s="43" t="s">
        <v>146</v>
      </c>
      <c r="E2" s="43" t="s">
        <v>144</v>
      </c>
      <c r="F2" s="43" t="s">
        <v>145</v>
      </c>
      <c r="H2" s="54" t="s">
        <v>188</v>
      </c>
    </row>
    <row r="3" spans="1:8" x14ac:dyDescent="0.3">
      <c r="A3" s="44"/>
      <c r="B3" s="45"/>
      <c r="C3" s="46" t="s">
        <v>147</v>
      </c>
      <c r="D3" s="44"/>
      <c r="E3" s="44"/>
      <c r="F3" s="45"/>
      <c r="G3" s="47" t="str">
        <f t="shared" ref="G3:G34" si="0">C3</f>
        <v>#N/A</v>
      </c>
      <c r="H3" t="str">
        <f>IFERROR(VLOOKUP(D3,CPF!A:D,4,0),"NAO ENCONTRADO")</f>
        <v>NAO ENCONTRADO</v>
      </c>
    </row>
    <row r="4" spans="1:8" x14ac:dyDescent="0.3">
      <c r="A4" s="44">
        <v>85991012568</v>
      </c>
      <c r="B4" s="44" t="str">
        <f t="shared" ref="B4:B35" si="1">CONCATENATE($A$1,A4)</f>
        <v>WA.ME/5585991012568</v>
      </c>
      <c r="C4" s="46" t="s">
        <v>150</v>
      </c>
      <c r="D4" s="50" t="s">
        <v>104</v>
      </c>
      <c r="E4" s="44">
        <v>85991012568</v>
      </c>
      <c r="F4" s="44" t="str">
        <f t="shared" ref="F4:F35" si="2">CONCATENATE($E$1,E4)</f>
        <v>WA.ME/5585991012568</v>
      </c>
      <c r="G4" s="47" t="str">
        <f t="shared" si="0"/>
        <v>ALAN SOUTO</v>
      </c>
      <c r="H4">
        <f>IFERROR(VLOOKUP(D4,CPF!A:D,4,0),"NAO ENCONTRADO")</f>
        <v>0</v>
      </c>
    </row>
    <row r="5" spans="1:8" x14ac:dyDescent="0.3">
      <c r="A5" s="48"/>
      <c r="B5" s="44" t="str">
        <f t="shared" si="1"/>
        <v>WA.ME/55</v>
      </c>
      <c r="C5" s="51" t="s">
        <v>150</v>
      </c>
      <c r="D5" s="50" t="s">
        <v>17</v>
      </c>
      <c r="E5" s="48"/>
      <c r="F5" s="44" t="str">
        <f t="shared" si="2"/>
        <v>WA.ME/55</v>
      </c>
      <c r="G5" s="47" t="str">
        <f t="shared" si="0"/>
        <v>ALAN SOUTO</v>
      </c>
      <c r="H5" t="str">
        <f>IFERROR(VLOOKUP(D5,CPF!A:D,4,0),"NAO ENCONTRADO")</f>
        <v>NAO ENCONTRADO</v>
      </c>
    </row>
    <row r="6" spans="1:8" x14ac:dyDescent="0.3">
      <c r="A6" s="48"/>
      <c r="B6" s="44" t="str">
        <f t="shared" si="1"/>
        <v>WA.ME/55</v>
      </c>
      <c r="C6" s="51" t="s">
        <v>150</v>
      </c>
      <c r="D6" s="50" t="s">
        <v>37</v>
      </c>
      <c r="E6" s="48"/>
      <c r="F6" s="44" t="str">
        <f t="shared" si="2"/>
        <v>WA.ME/55</v>
      </c>
      <c r="G6" s="47" t="str">
        <f t="shared" si="0"/>
        <v>ALAN SOUTO</v>
      </c>
      <c r="H6" t="str">
        <f>IFERROR(VLOOKUP(D6,CPF!A:D,4,0),"NAO ENCONTRADO")</f>
        <v>NAO ENCONTRADO</v>
      </c>
    </row>
    <row r="7" spans="1:8" x14ac:dyDescent="0.3">
      <c r="A7" s="48"/>
      <c r="B7" s="44" t="str">
        <f t="shared" si="1"/>
        <v>WA.ME/55</v>
      </c>
      <c r="C7" s="51" t="s">
        <v>150</v>
      </c>
      <c r="D7" s="50" t="s">
        <v>50</v>
      </c>
      <c r="E7" s="48"/>
      <c r="F7" s="44" t="str">
        <f t="shared" si="2"/>
        <v>WA.ME/55</v>
      </c>
      <c r="G7" s="47" t="str">
        <f t="shared" si="0"/>
        <v>ALAN SOUTO</v>
      </c>
      <c r="H7" t="str">
        <f>IFERROR(VLOOKUP(D7,CPF!A:D,4,0),"NAO ENCONTRADO")</f>
        <v>001.058.623-71</v>
      </c>
    </row>
    <row r="8" spans="1:8" x14ac:dyDescent="0.3">
      <c r="A8" s="44"/>
      <c r="B8" s="44" t="str">
        <f t="shared" si="1"/>
        <v>WA.ME/55</v>
      </c>
      <c r="C8" s="46" t="s">
        <v>150</v>
      </c>
      <c r="D8" s="50" t="s">
        <v>105</v>
      </c>
      <c r="E8" s="44"/>
      <c r="F8" s="44" t="str">
        <f t="shared" si="2"/>
        <v>WA.ME/55</v>
      </c>
      <c r="G8" s="47" t="str">
        <f t="shared" si="0"/>
        <v>ALAN SOUTO</v>
      </c>
      <c r="H8" t="str">
        <f>IFERROR(VLOOKUP(D8,CPF!A:D,4,0),"NAO ENCONTRADO")</f>
        <v>734.146.113-68</v>
      </c>
    </row>
    <row r="9" spans="1:8" x14ac:dyDescent="0.3">
      <c r="A9" s="48"/>
      <c r="B9" s="44" t="str">
        <f t="shared" si="1"/>
        <v>WA.ME/55</v>
      </c>
      <c r="C9" s="51" t="s">
        <v>150</v>
      </c>
      <c r="D9" s="50" t="s">
        <v>55</v>
      </c>
      <c r="E9" s="48"/>
      <c r="F9" s="44" t="str">
        <f t="shared" si="2"/>
        <v>WA.ME/55</v>
      </c>
      <c r="G9" s="47" t="str">
        <f t="shared" si="0"/>
        <v>ALAN SOUTO</v>
      </c>
      <c r="H9" t="str">
        <f>IFERROR(VLOOKUP(D9,CPF!A:D,4,0),"NAO ENCONTRADO")</f>
        <v>013.487.253-38</v>
      </c>
    </row>
    <row r="10" spans="1:8" x14ac:dyDescent="0.3">
      <c r="A10" s="48"/>
      <c r="B10" s="44" t="str">
        <f t="shared" si="1"/>
        <v>WA.ME/55</v>
      </c>
      <c r="C10" s="51" t="s">
        <v>150</v>
      </c>
      <c r="D10" s="50" t="s">
        <v>60</v>
      </c>
      <c r="E10" s="48"/>
      <c r="F10" s="44" t="str">
        <f t="shared" si="2"/>
        <v>WA.ME/55</v>
      </c>
      <c r="G10" s="47" t="str">
        <f t="shared" si="0"/>
        <v>ALAN SOUTO</v>
      </c>
      <c r="H10" t="str">
        <f>IFERROR(VLOOKUP(D10,CPF!A:D,4,0),"NAO ENCONTRADO")</f>
        <v>087.399.743-32</v>
      </c>
    </row>
    <row r="11" spans="1:8" x14ac:dyDescent="0.3">
      <c r="A11" s="44"/>
      <c r="B11" s="44" t="str">
        <f t="shared" si="1"/>
        <v>WA.ME/55</v>
      </c>
      <c r="C11" s="46" t="s">
        <v>150</v>
      </c>
      <c r="D11" s="50" t="s">
        <v>106</v>
      </c>
      <c r="E11" s="44"/>
      <c r="F11" s="44" t="str">
        <f t="shared" si="2"/>
        <v>WA.ME/55</v>
      </c>
      <c r="G11" s="47" t="str">
        <f t="shared" si="0"/>
        <v>ALAN SOUTO</v>
      </c>
      <c r="H11" t="str">
        <f>IFERROR(VLOOKUP(D11,CPF!A:D,4,0),"NAO ENCONTRADO")</f>
        <v>062.780.033-50</v>
      </c>
    </row>
    <row r="12" spans="1:8" x14ac:dyDescent="0.3">
      <c r="A12" s="44"/>
      <c r="B12" s="44" t="str">
        <f t="shared" si="1"/>
        <v>WA.ME/55</v>
      </c>
      <c r="C12" s="46" t="s">
        <v>150</v>
      </c>
      <c r="D12" s="50" t="s">
        <v>108</v>
      </c>
      <c r="E12" s="44"/>
      <c r="F12" s="44" t="str">
        <f t="shared" si="2"/>
        <v>WA.ME/55</v>
      </c>
      <c r="G12" s="47" t="str">
        <f t="shared" si="0"/>
        <v>ALAN SOUTO</v>
      </c>
      <c r="H12" t="str">
        <f>IFERROR(VLOOKUP(D12,CPF!A:D,4,0),"NAO ENCONTRADO")</f>
        <v>034.029.363-21</v>
      </c>
    </row>
    <row r="13" spans="1:8" x14ac:dyDescent="0.3">
      <c r="A13" s="44"/>
      <c r="B13" s="44" t="str">
        <f t="shared" si="1"/>
        <v>WA.ME/55</v>
      </c>
      <c r="C13" s="46" t="s">
        <v>150</v>
      </c>
      <c r="D13" s="50" t="s">
        <v>107</v>
      </c>
      <c r="E13" s="44"/>
      <c r="F13" s="44" t="str">
        <f t="shared" si="2"/>
        <v>WA.ME/55</v>
      </c>
      <c r="G13" s="47" t="str">
        <f t="shared" si="0"/>
        <v>ALAN SOUTO</v>
      </c>
      <c r="H13" t="str">
        <f>IFERROR(VLOOKUP(D13,CPF!A:D,4,0),"NAO ENCONTRADO")</f>
        <v>070.038.853-28</v>
      </c>
    </row>
    <row r="14" spans="1:8" x14ac:dyDescent="0.3">
      <c r="A14" s="48"/>
      <c r="B14" s="44" t="str">
        <f t="shared" si="1"/>
        <v>WA.ME/55</v>
      </c>
      <c r="C14" s="51" t="s">
        <v>150</v>
      </c>
      <c r="D14" s="50"/>
      <c r="E14" s="48"/>
      <c r="F14" s="44" t="str">
        <f t="shared" si="2"/>
        <v>WA.ME/55</v>
      </c>
      <c r="G14" s="47" t="str">
        <f t="shared" si="0"/>
        <v>ALAN SOUTO</v>
      </c>
      <c r="H14" t="str">
        <f>IFERROR(VLOOKUP(D14,CPF!A:D,4,0),"NAO ENCONTRADO")</f>
        <v>NAO ENCONTRADO</v>
      </c>
    </row>
    <row r="15" spans="1:8" x14ac:dyDescent="0.3">
      <c r="A15" s="48"/>
      <c r="B15" s="44" t="str">
        <f t="shared" si="1"/>
        <v>WA.ME/55</v>
      </c>
      <c r="C15" s="51" t="s">
        <v>150</v>
      </c>
      <c r="D15" s="50"/>
      <c r="E15" s="48"/>
      <c r="F15" s="44" t="str">
        <f t="shared" si="2"/>
        <v>WA.ME/55</v>
      </c>
      <c r="G15" s="47" t="str">
        <f t="shared" si="0"/>
        <v>ALAN SOUTO</v>
      </c>
      <c r="H15" t="str">
        <f>IFERROR(VLOOKUP(D15,CPF!A:D,4,0),"NAO ENCONTRADO")</f>
        <v>NAO ENCONTRADO</v>
      </c>
    </row>
    <row r="16" spans="1:8" x14ac:dyDescent="0.3">
      <c r="A16" s="48"/>
      <c r="B16" s="44" t="str">
        <f t="shared" si="1"/>
        <v>WA.ME/55</v>
      </c>
      <c r="C16" s="51" t="s">
        <v>150</v>
      </c>
      <c r="D16" s="50"/>
      <c r="E16" s="44"/>
      <c r="F16" s="44" t="str">
        <f t="shared" si="2"/>
        <v>WA.ME/55</v>
      </c>
      <c r="G16" s="47" t="str">
        <f t="shared" si="0"/>
        <v>ALAN SOUTO</v>
      </c>
      <c r="H16" t="str">
        <f>IFERROR(VLOOKUP(D16,CPF!A:D,4,0),"NAO ENCONTRADO")</f>
        <v>NAO ENCONTRADO</v>
      </c>
    </row>
    <row r="17" spans="1:8" x14ac:dyDescent="0.3">
      <c r="A17" s="48"/>
      <c r="B17" s="44" t="str">
        <f t="shared" si="1"/>
        <v>WA.ME/55</v>
      </c>
      <c r="C17" s="51" t="s">
        <v>150</v>
      </c>
      <c r="D17" s="50"/>
      <c r="E17" s="48"/>
      <c r="F17" s="44" t="str">
        <f t="shared" si="2"/>
        <v>WA.ME/55</v>
      </c>
      <c r="G17" s="47" t="str">
        <f t="shared" si="0"/>
        <v>ALAN SOUTO</v>
      </c>
      <c r="H17" t="str">
        <f>IFERROR(VLOOKUP(D17,CPF!A:D,4,0),"NAO ENCONTRADO")</f>
        <v>NAO ENCONTRADO</v>
      </c>
    </row>
    <row r="18" spans="1:8" x14ac:dyDescent="0.3">
      <c r="A18" s="44"/>
      <c r="B18" s="44" t="str">
        <f t="shared" si="1"/>
        <v>WA.ME/55</v>
      </c>
      <c r="C18" s="51" t="s">
        <v>150</v>
      </c>
      <c r="D18" s="50"/>
      <c r="E18" s="48"/>
      <c r="F18" s="44" t="str">
        <f t="shared" si="2"/>
        <v>WA.ME/55</v>
      </c>
      <c r="G18" s="47" t="str">
        <f t="shared" si="0"/>
        <v>ALAN SOUTO</v>
      </c>
      <c r="H18" t="str">
        <f>IFERROR(VLOOKUP(D18,CPF!A:D,4,0),"NAO ENCONTRADO")</f>
        <v>NAO ENCONTRADO</v>
      </c>
    </row>
    <row r="19" spans="1:8" x14ac:dyDescent="0.3">
      <c r="A19" s="44"/>
      <c r="B19" s="44" t="str">
        <f t="shared" si="1"/>
        <v>WA.ME/55</v>
      </c>
      <c r="C19" s="52" t="s">
        <v>152</v>
      </c>
      <c r="D19" s="50" t="s">
        <v>153</v>
      </c>
      <c r="E19" s="48"/>
      <c r="F19" s="44" t="str">
        <f t="shared" si="2"/>
        <v>WA.ME/55</v>
      </c>
      <c r="G19" s="47" t="str">
        <f t="shared" si="0"/>
        <v>JEBNET</v>
      </c>
      <c r="H19" t="str">
        <f>IFERROR(VLOOKUP(D19,CPF!A:D,4,0),"NAO ENCONTRADO")</f>
        <v>NAO ENCONTRADO</v>
      </c>
    </row>
    <row r="20" spans="1:8" x14ac:dyDescent="0.3">
      <c r="A20" s="48"/>
      <c r="B20" s="44" t="str">
        <f t="shared" si="1"/>
        <v>WA.ME/55</v>
      </c>
      <c r="C20" s="52" t="s">
        <v>152</v>
      </c>
      <c r="D20" s="50" t="s">
        <v>14</v>
      </c>
      <c r="E20" s="48"/>
      <c r="F20" s="44" t="str">
        <f t="shared" si="2"/>
        <v>WA.ME/55</v>
      </c>
      <c r="G20" s="47" t="str">
        <f t="shared" si="0"/>
        <v>JEBNET</v>
      </c>
      <c r="H20" t="str">
        <f>IFERROR(VLOOKUP(D20,CPF!A:D,4,0),"NAO ENCONTRADO")</f>
        <v>NAO ENCONTRADO</v>
      </c>
    </row>
    <row r="21" spans="1:8" x14ac:dyDescent="0.3">
      <c r="A21" s="48"/>
      <c r="B21" s="44" t="str">
        <f t="shared" si="1"/>
        <v>WA.ME/55</v>
      </c>
      <c r="C21" s="52" t="s">
        <v>152</v>
      </c>
      <c r="D21" s="50" t="s">
        <v>18</v>
      </c>
      <c r="E21" s="48"/>
      <c r="F21" s="44" t="str">
        <f t="shared" si="2"/>
        <v>WA.ME/55</v>
      </c>
      <c r="G21" s="47" t="str">
        <f t="shared" si="0"/>
        <v>JEBNET</v>
      </c>
      <c r="H21" t="str">
        <f>IFERROR(VLOOKUP(D21,CPF!A:D,4,0),"NAO ENCONTRADO")</f>
        <v>NAO ENCONTRADO</v>
      </c>
    </row>
    <row r="22" spans="1:8" x14ac:dyDescent="0.3">
      <c r="A22" s="48"/>
      <c r="B22" s="44" t="str">
        <f t="shared" si="1"/>
        <v>WA.ME/55</v>
      </c>
      <c r="C22" s="52" t="s">
        <v>152</v>
      </c>
      <c r="D22" s="50" t="s">
        <v>28</v>
      </c>
      <c r="E22" s="44"/>
      <c r="F22" s="44" t="str">
        <f t="shared" si="2"/>
        <v>WA.ME/55</v>
      </c>
      <c r="G22" s="47" t="str">
        <f t="shared" si="0"/>
        <v>JEBNET</v>
      </c>
      <c r="H22" t="str">
        <f>IFERROR(VLOOKUP(D22,CPF!A:D,4,0),"NAO ENCONTRADO")</f>
        <v>NAO ENCONTRADO</v>
      </c>
    </row>
    <row r="23" spans="1:8" x14ac:dyDescent="0.3">
      <c r="A23" s="48"/>
      <c r="B23" s="44" t="str">
        <f t="shared" si="1"/>
        <v>WA.ME/55</v>
      </c>
      <c r="C23" s="52" t="s">
        <v>152</v>
      </c>
      <c r="D23" s="50" t="s">
        <v>154</v>
      </c>
      <c r="E23" s="48"/>
      <c r="F23" s="44" t="str">
        <f t="shared" si="2"/>
        <v>WA.ME/55</v>
      </c>
      <c r="G23" s="47" t="str">
        <f t="shared" si="0"/>
        <v>JEBNET</v>
      </c>
      <c r="H23" t="str">
        <f>IFERROR(VLOOKUP(D23,CPF!A:D,4,0),"NAO ENCONTRADO")</f>
        <v>NAO ENCONTRADO</v>
      </c>
    </row>
    <row r="24" spans="1:8" x14ac:dyDescent="0.3">
      <c r="A24" s="48"/>
      <c r="B24" s="44" t="str">
        <f t="shared" si="1"/>
        <v>WA.ME/55</v>
      </c>
      <c r="C24" s="52" t="s">
        <v>152</v>
      </c>
      <c r="D24" s="50" t="s">
        <v>155</v>
      </c>
      <c r="E24" s="48"/>
      <c r="F24" s="44" t="str">
        <f t="shared" si="2"/>
        <v>WA.ME/55</v>
      </c>
      <c r="G24" s="47" t="str">
        <f t="shared" si="0"/>
        <v>JEBNET</v>
      </c>
      <c r="H24" t="str">
        <f>IFERROR(VLOOKUP(D24,CPF!A:D,4,0),"NAO ENCONTRADO")</f>
        <v>NAO ENCONTRADO</v>
      </c>
    </row>
    <row r="25" spans="1:8" x14ac:dyDescent="0.3">
      <c r="A25" s="48"/>
      <c r="B25" s="44" t="str">
        <f t="shared" si="1"/>
        <v>WA.ME/55</v>
      </c>
      <c r="C25" s="52" t="s">
        <v>152</v>
      </c>
      <c r="D25" s="50" t="s">
        <v>156</v>
      </c>
      <c r="E25" s="48"/>
      <c r="F25" s="44" t="str">
        <f t="shared" si="2"/>
        <v>WA.ME/55</v>
      </c>
      <c r="G25" s="47" t="str">
        <f t="shared" si="0"/>
        <v>JEBNET</v>
      </c>
      <c r="H25" t="str">
        <f>IFERROR(VLOOKUP(D25,CPF!A:D,4,0),"NAO ENCONTRADO")</f>
        <v>NAO ENCONTRADO</v>
      </c>
    </row>
    <row r="26" spans="1:8" x14ac:dyDescent="0.3">
      <c r="A26" s="44"/>
      <c r="B26" s="44" t="str">
        <f t="shared" si="1"/>
        <v>WA.ME/55</v>
      </c>
      <c r="C26" s="52" t="s">
        <v>152</v>
      </c>
      <c r="D26" s="50" t="s">
        <v>157</v>
      </c>
      <c r="E26" s="48"/>
      <c r="F26" s="44" t="str">
        <f t="shared" si="2"/>
        <v>WA.ME/55</v>
      </c>
      <c r="G26" s="47" t="str">
        <f t="shared" si="0"/>
        <v>JEBNET</v>
      </c>
      <c r="H26" t="str">
        <f>IFERROR(VLOOKUP(D26,CPF!A:D,4,0),"NAO ENCONTRADO")</f>
        <v>NAO ENCONTRADO</v>
      </c>
    </row>
    <row r="27" spans="1:8" x14ac:dyDescent="0.3">
      <c r="A27" s="48"/>
      <c r="B27" s="44" t="str">
        <f t="shared" si="1"/>
        <v>WA.ME/55</v>
      </c>
      <c r="C27" s="52" t="s">
        <v>152</v>
      </c>
      <c r="D27" s="50" t="s">
        <v>125</v>
      </c>
      <c r="E27" s="44"/>
      <c r="F27" s="44" t="str">
        <f t="shared" si="2"/>
        <v>WA.ME/55</v>
      </c>
      <c r="G27" s="47" t="str">
        <f t="shared" si="0"/>
        <v>JEBNET</v>
      </c>
      <c r="H27" t="str">
        <f>IFERROR(VLOOKUP(D27,CPF!A:D,4,0),"NAO ENCONTRADO")</f>
        <v>NAO ENCONTRADO</v>
      </c>
    </row>
    <row r="28" spans="1:8" x14ac:dyDescent="0.3">
      <c r="A28" s="48"/>
      <c r="B28" s="44" t="str">
        <f t="shared" si="1"/>
        <v>WA.ME/55</v>
      </c>
      <c r="C28" s="52" t="s">
        <v>152</v>
      </c>
      <c r="D28" s="50" t="s">
        <v>49</v>
      </c>
      <c r="E28" s="48"/>
      <c r="F28" s="44" t="str">
        <f t="shared" si="2"/>
        <v>WA.ME/55</v>
      </c>
      <c r="G28" s="47" t="str">
        <f t="shared" si="0"/>
        <v>JEBNET</v>
      </c>
      <c r="H28" t="str">
        <f>IFERROR(VLOOKUP(D28,CPF!A:D,4,0),"NAO ENCONTRADO")</f>
        <v>NAO ENCONTRADO</v>
      </c>
    </row>
    <row r="29" spans="1:8" x14ac:dyDescent="0.3">
      <c r="A29" s="48"/>
      <c r="B29" s="44" t="str">
        <f t="shared" si="1"/>
        <v>WA.ME/55</v>
      </c>
      <c r="C29" s="52" t="s">
        <v>152</v>
      </c>
      <c r="D29" s="50" t="s">
        <v>129</v>
      </c>
      <c r="E29" s="48"/>
      <c r="F29" s="44" t="str">
        <f t="shared" si="2"/>
        <v>WA.ME/55</v>
      </c>
      <c r="G29" s="47" t="str">
        <f t="shared" si="0"/>
        <v>JEBNET</v>
      </c>
      <c r="H29" t="str">
        <f>IFERROR(VLOOKUP(D29,CPF!A:D,4,0),"NAO ENCONTRADO")</f>
        <v>NAO ENCONTRADO</v>
      </c>
    </row>
    <row r="30" spans="1:8" x14ac:dyDescent="0.3">
      <c r="A30" s="48"/>
      <c r="B30" s="44" t="str">
        <f t="shared" si="1"/>
        <v>WA.ME/55</v>
      </c>
      <c r="C30" s="52" t="s">
        <v>152</v>
      </c>
      <c r="D30" s="50" t="s">
        <v>65</v>
      </c>
      <c r="E30" s="48"/>
      <c r="F30" s="44" t="str">
        <f t="shared" si="2"/>
        <v>WA.ME/55</v>
      </c>
      <c r="G30" s="47" t="str">
        <f t="shared" si="0"/>
        <v>JEBNET</v>
      </c>
      <c r="H30" t="str">
        <f>IFERROR(VLOOKUP(D30,CPF!A:D,4,0),"NAO ENCONTRADO")</f>
        <v>NAO ENCONTRADO</v>
      </c>
    </row>
    <row r="31" spans="1:8" x14ac:dyDescent="0.3">
      <c r="A31" s="48"/>
      <c r="B31" s="44" t="str">
        <f t="shared" si="1"/>
        <v>WA.ME/55</v>
      </c>
      <c r="C31" s="52" t="s">
        <v>152</v>
      </c>
      <c r="D31" s="50" t="s">
        <v>71</v>
      </c>
      <c r="E31" s="48"/>
      <c r="F31" s="44" t="str">
        <f t="shared" si="2"/>
        <v>WA.ME/55</v>
      </c>
      <c r="G31" s="47" t="str">
        <f t="shared" si="0"/>
        <v>JEBNET</v>
      </c>
      <c r="H31" t="str">
        <f>IFERROR(VLOOKUP(D31,CPF!A:D,4,0),"NAO ENCONTRADO")</f>
        <v>NAO ENCONTRADO</v>
      </c>
    </row>
    <row r="32" spans="1:8" x14ac:dyDescent="0.3">
      <c r="A32" s="44"/>
      <c r="B32" s="44" t="str">
        <f t="shared" si="1"/>
        <v>WA.ME/55</v>
      </c>
      <c r="C32" s="52" t="s">
        <v>152</v>
      </c>
      <c r="D32" s="50" t="s">
        <v>72</v>
      </c>
      <c r="E32" s="48"/>
      <c r="F32" s="44" t="str">
        <f t="shared" si="2"/>
        <v>WA.ME/55</v>
      </c>
      <c r="G32" s="47" t="str">
        <f t="shared" si="0"/>
        <v>JEBNET</v>
      </c>
      <c r="H32" t="str">
        <f>IFERROR(VLOOKUP(D32,CPF!A:D,4,0),"NAO ENCONTRADO")</f>
        <v>NAO ENCONTRADO</v>
      </c>
    </row>
    <row r="33" spans="1:8" x14ac:dyDescent="0.3">
      <c r="A33" s="44">
        <v>85991012568</v>
      </c>
      <c r="B33" s="44" t="str">
        <f t="shared" si="1"/>
        <v>WA.ME/5585991012568</v>
      </c>
      <c r="C33" s="49" t="s">
        <v>151</v>
      </c>
      <c r="D33" s="50" t="s">
        <v>175</v>
      </c>
      <c r="E33" s="44">
        <v>85991012568</v>
      </c>
      <c r="F33" s="44" t="str">
        <f t="shared" si="2"/>
        <v>WA.ME/5585991012568</v>
      </c>
      <c r="G33" s="47" t="str">
        <f t="shared" si="0"/>
        <v>JOSE LEONARDO</v>
      </c>
      <c r="H33" t="str">
        <f>IFERROR(VLOOKUP(D33,CPF!A:D,4,0),"NAO ENCONTRADO")</f>
        <v>088.824.123-26</v>
      </c>
    </row>
    <row r="34" spans="1:8" x14ac:dyDescent="0.3">
      <c r="A34" s="48"/>
      <c r="B34" s="44" t="str">
        <f t="shared" si="1"/>
        <v>WA.ME/55</v>
      </c>
      <c r="C34" s="49" t="s">
        <v>151</v>
      </c>
      <c r="D34" s="50" t="s">
        <v>24</v>
      </c>
      <c r="E34" s="48"/>
      <c r="F34" s="44" t="str">
        <f t="shared" si="2"/>
        <v>WA.ME/55</v>
      </c>
      <c r="G34" s="47" t="str">
        <f t="shared" si="0"/>
        <v>JOSE LEONARDO</v>
      </c>
      <c r="H34" t="str">
        <f>IFERROR(VLOOKUP(D34,CPF!A:D,4,0),"NAO ENCONTRADO")</f>
        <v>NAO ENCONTRADO</v>
      </c>
    </row>
    <row r="35" spans="1:8" x14ac:dyDescent="0.3">
      <c r="A35" s="48"/>
      <c r="B35" s="44" t="str">
        <f t="shared" si="1"/>
        <v>WA.ME/55</v>
      </c>
      <c r="C35" s="49" t="s">
        <v>151</v>
      </c>
      <c r="D35" s="50" t="s">
        <v>31</v>
      </c>
      <c r="E35" s="48"/>
      <c r="F35" s="44" t="str">
        <f t="shared" si="2"/>
        <v>WA.ME/55</v>
      </c>
      <c r="G35" s="47" t="str">
        <f t="shared" ref="G35:G66" si="3">C35</f>
        <v>JOSE LEONARDO</v>
      </c>
      <c r="H35" t="str">
        <f>IFERROR(VLOOKUP(D35,CPF!A:D,4,0),"NAO ENCONTRADO")</f>
        <v>045.179.853-85</v>
      </c>
    </row>
    <row r="36" spans="1:8" x14ac:dyDescent="0.3">
      <c r="A36" s="48"/>
      <c r="B36" s="44" t="str">
        <f t="shared" ref="B36:B67" si="4">CONCATENATE($A$1,A36)</f>
        <v>WA.ME/55</v>
      </c>
      <c r="C36" s="49" t="s">
        <v>151</v>
      </c>
      <c r="D36" s="50" t="s">
        <v>35</v>
      </c>
      <c r="E36" s="48"/>
      <c r="F36" s="44" t="str">
        <f t="shared" ref="F36:F67" si="5">CONCATENATE($E$1,E36)</f>
        <v>WA.ME/55</v>
      </c>
      <c r="G36" s="47" t="str">
        <f t="shared" si="3"/>
        <v>JOSE LEONARDO</v>
      </c>
      <c r="H36" t="str">
        <f>IFERROR(VLOOKUP(D36,CPF!A:D,4,0),"NAO ENCONTRADO")</f>
        <v>078.519.483-55</v>
      </c>
    </row>
    <row r="37" spans="1:8" x14ac:dyDescent="0.3">
      <c r="A37" s="48"/>
      <c r="B37" s="44" t="str">
        <f t="shared" si="4"/>
        <v>WA.ME/55</v>
      </c>
      <c r="C37" s="49" t="s">
        <v>151</v>
      </c>
      <c r="D37" s="50" t="s">
        <v>124</v>
      </c>
      <c r="E37" s="48"/>
      <c r="F37" s="44" t="str">
        <f t="shared" si="5"/>
        <v>WA.ME/55</v>
      </c>
      <c r="G37" s="47" t="str">
        <f t="shared" si="3"/>
        <v>JOSE LEONARDO</v>
      </c>
      <c r="H37" t="str">
        <f>IFERROR(VLOOKUP(D37,CPF!A:D,4,0),"NAO ENCONTRADO")</f>
        <v>082.775.843-00</v>
      </c>
    </row>
    <row r="38" spans="1:8" x14ac:dyDescent="0.3">
      <c r="A38" s="48"/>
      <c r="B38" s="44" t="str">
        <f t="shared" si="4"/>
        <v>WA.ME/55</v>
      </c>
      <c r="C38" s="49" t="s">
        <v>151</v>
      </c>
      <c r="D38" s="50" t="s">
        <v>89</v>
      </c>
      <c r="E38" s="48"/>
      <c r="F38" s="44" t="str">
        <f t="shared" si="5"/>
        <v>WA.ME/55</v>
      </c>
      <c r="G38" s="47" t="str">
        <f t="shared" si="3"/>
        <v>JOSE LEONARDO</v>
      </c>
      <c r="H38" t="str">
        <f>IFERROR(VLOOKUP(D38,CPF!A:D,4,0),"NAO ENCONTRADO")</f>
        <v>041.037.803-80</v>
      </c>
    </row>
    <row r="39" spans="1:8" x14ac:dyDescent="0.3">
      <c r="A39" s="48"/>
      <c r="B39" s="44" t="str">
        <f t="shared" si="4"/>
        <v>WA.ME/55</v>
      </c>
      <c r="C39" s="49" t="s">
        <v>151</v>
      </c>
      <c r="D39" s="50" t="s">
        <v>38</v>
      </c>
      <c r="E39" s="48"/>
      <c r="F39" s="44" t="str">
        <f t="shared" si="5"/>
        <v>WA.ME/55</v>
      </c>
      <c r="G39" s="47" t="str">
        <f t="shared" si="3"/>
        <v>JOSE LEONARDO</v>
      </c>
      <c r="H39" t="str">
        <f>IFERROR(VLOOKUP(D39,CPF!A:D,4,0),"NAO ENCONTRADO")</f>
        <v>078.282.793-45</v>
      </c>
    </row>
    <row r="40" spans="1:8" x14ac:dyDescent="0.3">
      <c r="A40" s="48"/>
      <c r="B40" s="44" t="str">
        <f t="shared" si="4"/>
        <v>WA.ME/55</v>
      </c>
      <c r="C40" s="49" t="s">
        <v>151</v>
      </c>
      <c r="D40" s="50" t="s">
        <v>180</v>
      </c>
      <c r="E40" s="48">
        <v>85981012568</v>
      </c>
      <c r="F40" s="44" t="str">
        <f t="shared" si="5"/>
        <v>WA.ME/5585981012568</v>
      </c>
      <c r="G40" s="47" t="str">
        <f t="shared" si="3"/>
        <v>JOSE LEONARDO</v>
      </c>
      <c r="H40">
        <v>0</v>
      </c>
    </row>
    <row r="41" spans="1:8" x14ac:dyDescent="0.3">
      <c r="A41" s="48"/>
      <c r="B41" s="44" t="str">
        <f t="shared" si="4"/>
        <v>WA.ME/55</v>
      </c>
      <c r="C41" s="49" t="s">
        <v>151</v>
      </c>
      <c r="D41" s="50" t="s">
        <v>40</v>
      </c>
      <c r="E41" s="48"/>
      <c r="F41" s="44" t="str">
        <f t="shared" si="5"/>
        <v>WA.ME/55</v>
      </c>
      <c r="G41" s="47" t="str">
        <f t="shared" si="3"/>
        <v>JOSE LEONARDO</v>
      </c>
      <c r="H41" t="str">
        <f>IFERROR(VLOOKUP(D41,CPF!A:D,4,0),"NAO ENCONTRADO")</f>
        <v>019.738.393-93</v>
      </c>
    </row>
    <row r="42" spans="1:8" x14ac:dyDescent="0.3">
      <c r="A42" s="48"/>
      <c r="B42" s="44" t="str">
        <f t="shared" si="4"/>
        <v>WA.ME/55</v>
      </c>
      <c r="C42" s="49" t="s">
        <v>151</v>
      </c>
      <c r="D42" s="50" t="s">
        <v>41</v>
      </c>
      <c r="E42" s="48"/>
      <c r="F42" s="44" t="str">
        <f t="shared" si="5"/>
        <v>WA.ME/55</v>
      </c>
      <c r="G42" s="47" t="str">
        <f t="shared" si="3"/>
        <v>JOSE LEONARDO</v>
      </c>
      <c r="H42" t="str">
        <f>IFERROR(VLOOKUP(D42,CPF!A:D,4,0),"NAO ENCONTRADO")</f>
        <v>075.630.503-96</v>
      </c>
    </row>
    <row r="43" spans="1:8" x14ac:dyDescent="0.3">
      <c r="A43" s="48"/>
      <c r="B43" s="44" t="str">
        <f t="shared" si="4"/>
        <v>WA.ME/55</v>
      </c>
      <c r="C43" s="49" t="s">
        <v>151</v>
      </c>
      <c r="D43" s="50" t="s">
        <v>42</v>
      </c>
      <c r="E43" s="48"/>
      <c r="F43" s="44" t="str">
        <f t="shared" si="5"/>
        <v>WA.ME/55</v>
      </c>
      <c r="G43" s="47" t="str">
        <f t="shared" si="3"/>
        <v>JOSE LEONARDO</v>
      </c>
      <c r="H43" t="str">
        <f>IFERROR(VLOOKUP(D43,CPF!A:D,4,0),"NAO ENCONTRADO")</f>
        <v>020.305.163-76</v>
      </c>
    </row>
    <row r="44" spans="1:8" x14ac:dyDescent="0.3">
      <c r="A44" s="48"/>
      <c r="B44" s="44" t="str">
        <f t="shared" si="4"/>
        <v>WA.ME/55</v>
      </c>
      <c r="C44" s="49" t="s">
        <v>151</v>
      </c>
      <c r="D44" s="50" t="s">
        <v>43</v>
      </c>
      <c r="E44" s="48"/>
      <c r="F44" s="44" t="str">
        <f t="shared" si="5"/>
        <v>WA.ME/55</v>
      </c>
      <c r="G44" s="47" t="str">
        <f t="shared" si="3"/>
        <v>JOSE LEONARDO</v>
      </c>
      <c r="H44" t="str">
        <f>IFERROR(VLOOKUP(D44,CPF!A:D,4,0),"NAO ENCONTRADO")</f>
        <v>077.115.853-06</v>
      </c>
    </row>
    <row r="45" spans="1:8" x14ac:dyDescent="0.3">
      <c r="A45" s="48"/>
      <c r="B45" s="44" t="str">
        <f t="shared" si="4"/>
        <v>WA.ME/55</v>
      </c>
      <c r="C45" s="49" t="s">
        <v>151</v>
      </c>
      <c r="D45" s="50" t="s">
        <v>181</v>
      </c>
      <c r="E45" s="48"/>
      <c r="F45" s="44" t="str">
        <f t="shared" si="5"/>
        <v>WA.ME/55</v>
      </c>
      <c r="G45" s="47" t="str">
        <f t="shared" si="3"/>
        <v>JOSE LEONARDO</v>
      </c>
      <c r="H45" t="str">
        <f>IFERROR(VLOOKUP(D45,CPF!A:D,4,0),"NAO ENCONTRADO")</f>
        <v>633.338.113-67</v>
      </c>
    </row>
    <row r="46" spans="1:8" x14ac:dyDescent="0.3">
      <c r="A46" s="48"/>
      <c r="B46" s="44" t="str">
        <f t="shared" si="4"/>
        <v>WA.ME/55</v>
      </c>
      <c r="C46" s="49" t="s">
        <v>151</v>
      </c>
      <c r="D46" s="50" t="s">
        <v>46</v>
      </c>
      <c r="E46" s="48"/>
      <c r="F46" s="44" t="str">
        <f t="shared" si="5"/>
        <v>WA.ME/55</v>
      </c>
      <c r="G46" s="47" t="str">
        <f t="shared" si="3"/>
        <v>JOSE LEONARDO</v>
      </c>
      <c r="H46" t="str">
        <f>IFERROR(VLOOKUP(D46,CPF!A:D,4,0),"NAO ENCONTRADO")</f>
        <v>095.190.783-20</v>
      </c>
    </row>
    <row r="47" spans="1:8" x14ac:dyDescent="0.3">
      <c r="A47" s="48"/>
      <c r="B47" s="44" t="str">
        <f t="shared" si="4"/>
        <v>WA.ME/55</v>
      </c>
      <c r="C47" s="49" t="s">
        <v>151</v>
      </c>
      <c r="D47" s="50" t="s">
        <v>182</v>
      </c>
      <c r="E47" s="48"/>
      <c r="F47" s="44" t="str">
        <f t="shared" si="5"/>
        <v>WA.ME/55</v>
      </c>
      <c r="G47" s="47" t="str">
        <f t="shared" si="3"/>
        <v>JOSE LEONARDO</v>
      </c>
      <c r="H47" t="str">
        <f>IFERROR(VLOOKUP(D47,CPF!A:D,4,0),"NAO ENCONTRADO")</f>
        <v>078.961.853-26</v>
      </c>
    </row>
    <row r="48" spans="1:8" x14ac:dyDescent="0.3">
      <c r="A48" s="48"/>
      <c r="B48" s="44" t="str">
        <f t="shared" si="4"/>
        <v>WA.ME/55</v>
      </c>
      <c r="C48" s="49" t="s">
        <v>151</v>
      </c>
      <c r="D48" s="50" t="s">
        <v>51</v>
      </c>
      <c r="E48" s="48"/>
      <c r="F48" s="44" t="str">
        <f t="shared" si="5"/>
        <v>WA.ME/55</v>
      </c>
      <c r="G48" s="47" t="str">
        <f t="shared" si="3"/>
        <v>JOSE LEONARDO</v>
      </c>
      <c r="H48" t="str">
        <f>IFERROR(VLOOKUP(D48,CPF!A:D,4,0),"NAO ENCONTRADO")</f>
        <v>891.107.223-00</v>
      </c>
    </row>
    <row r="49" spans="1:8" x14ac:dyDescent="0.3">
      <c r="A49" s="48"/>
      <c r="B49" s="44" t="str">
        <f t="shared" si="4"/>
        <v>WA.ME/55</v>
      </c>
      <c r="C49" s="49" t="s">
        <v>151</v>
      </c>
      <c r="D49" s="50" t="s">
        <v>57</v>
      </c>
      <c r="E49" s="48"/>
      <c r="F49" s="44" t="str">
        <f t="shared" si="5"/>
        <v>WA.ME/55</v>
      </c>
      <c r="G49" s="47" t="str">
        <f t="shared" si="3"/>
        <v>JOSE LEONARDO</v>
      </c>
      <c r="H49" t="str">
        <f>IFERROR(VLOOKUP(D49,CPF!A:D,4,0),"NAO ENCONTRADO")</f>
        <v>074.800.793-89</v>
      </c>
    </row>
    <row r="50" spans="1:8" x14ac:dyDescent="0.3">
      <c r="A50" s="48"/>
      <c r="B50" s="44" t="str">
        <f t="shared" si="4"/>
        <v>WA.ME/55</v>
      </c>
      <c r="C50" s="49" t="s">
        <v>151</v>
      </c>
      <c r="D50" s="50" t="s">
        <v>92</v>
      </c>
      <c r="E50" s="48"/>
      <c r="F50" s="44" t="str">
        <f t="shared" si="5"/>
        <v>WA.ME/55</v>
      </c>
      <c r="G50" s="47" t="str">
        <f t="shared" si="3"/>
        <v>JOSE LEONARDO</v>
      </c>
      <c r="H50" t="str">
        <f>IFERROR(VLOOKUP(D50,CPF!A:D,4,0),"NAO ENCONTRADO")</f>
        <v>080.989.923-06</v>
      </c>
    </row>
    <row r="51" spans="1:8" x14ac:dyDescent="0.3">
      <c r="A51" s="48"/>
      <c r="B51" s="44" t="str">
        <f t="shared" si="4"/>
        <v>WA.ME/55</v>
      </c>
      <c r="C51" s="49" t="s">
        <v>151</v>
      </c>
      <c r="D51" s="50" t="s">
        <v>63</v>
      </c>
      <c r="E51" s="48"/>
      <c r="F51" s="44" t="str">
        <f t="shared" si="5"/>
        <v>WA.ME/55</v>
      </c>
      <c r="G51" s="47" t="str">
        <f t="shared" si="3"/>
        <v>JOSE LEONARDO</v>
      </c>
      <c r="H51" t="str">
        <f>IFERROR(VLOOKUP(D51,CPF!A:D,4,0),"NAO ENCONTRADO")</f>
        <v>NAO ENCONTRADO</v>
      </c>
    </row>
    <row r="52" spans="1:8" x14ac:dyDescent="0.3">
      <c r="A52" s="48"/>
      <c r="B52" s="44" t="str">
        <f t="shared" si="4"/>
        <v>WA.ME/55</v>
      </c>
      <c r="C52" s="49" t="s">
        <v>151</v>
      </c>
      <c r="D52" s="50" t="s">
        <v>64</v>
      </c>
      <c r="E52" s="48"/>
      <c r="F52" s="44" t="str">
        <f t="shared" si="5"/>
        <v>WA.ME/55</v>
      </c>
      <c r="G52" s="47" t="str">
        <f t="shared" si="3"/>
        <v>JOSE LEONARDO</v>
      </c>
      <c r="H52" t="str">
        <f>IFERROR(VLOOKUP(D52,CPF!A:D,4,0),"NAO ENCONTRADO")</f>
        <v>073.501.783-28</v>
      </c>
    </row>
    <row r="53" spans="1:8" x14ac:dyDescent="0.3">
      <c r="A53" s="48"/>
      <c r="B53" s="44" t="str">
        <f t="shared" si="4"/>
        <v>WA.ME/55</v>
      </c>
      <c r="C53" s="49" t="s">
        <v>151</v>
      </c>
      <c r="D53" s="50" t="s">
        <v>95</v>
      </c>
      <c r="E53" s="48"/>
      <c r="F53" s="44" t="str">
        <f t="shared" si="5"/>
        <v>WA.ME/55</v>
      </c>
      <c r="G53" s="47" t="str">
        <f t="shared" si="3"/>
        <v>JOSE LEONARDO</v>
      </c>
      <c r="H53" t="str">
        <f>IFERROR(VLOOKUP(D53,CPF!A:D,4,0),"NAO ENCONTRADO")</f>
        <v>087.975.463-05</v>
      </c>
    </row>
    <row r="54" spans="1:8" x14ac:dyDescent="0.3">
      <c r="A54" s="48"/>
      <c r="B54" s="44" t="str">
        <f t="shared" si="4"/>
        <v>WA.ME/55</v>
      </c>
      <c r="C54" s="49" t="s">
        <v>151</v>
      </c>
      <c r="D54" s="50" t="s">
        <v>70</v>
      </c>
      <c r="E54" s="48"/>
      <c r="F54" s="44" t="str">
        <f t="shared" si="5"/>
        <v>WA.ME/55</v>
      </c>
      <c r="G54" s="47" t="str">
        <f t="shared" si="3"/>
        <v>JOSE LEONARDO</v>
      </c>
      <c r="H54" t="str">
        <f>IFERROR(VLOOKUP(D54,CPF!A:D,4,0),"NAO ENCONTRADO")</f>
        <v>051.728.733-17</v>
      </c>
    </row>
    <row r="55" spans="1:8" x14ac:dyDescent="0.3">
      <c r="A55" s="48"/>
      <c r="B55" s="44" t="str">
        <f t="shared" si="4"/>
        <v>WA.ME/55</v>
      </c>
      <c r="C55" s="49" t="s">
        <v>151</v>
      </c>
      <c r="D55" s="50" t="s">
        <v>74</v>
      </c>
      <c r="E55" s="48"/>
      <c r="F55" s="44" t="str">
        <f t="shared" si="5"/>
        <v>WA.ME/55</v>
      </c>
      <c r="G55" s="47" t="str">
        <f t="shared" si="3"/>
        <v>JOSE LEONARDO</v>
      </c>
      <c r="H55" t="str">
        <f>IFERROR(VLOOKUP(D55,CPF!A:D,4,0),"NAO ENCONTRADO")</f>
        <v>086.965.763-14</v>
      </c>
    </row>
    <row r="56" spans="1:8" x14ac:dyDescent="0.3">
      <c r="A56" s="44"/>
      <c r="B56" s="44" t="str">
        <f t="shared" si="4"/>
        <v>WA.ME/55</v>
      </c>
      <c r="C56" s="46" t="s">
        <v>158</v>
      </c>
      <c r="D56" s="50" t="s">
        <v>162</v>
      </c>
      <c r="E56" s="44"/>
      <c r="F56" s="44" t="str">
        <f t="shared" si="5"/>
        <v>WA.ME/55</v>
      </c>
      <c r="G56" s="47" t="str">
        <f t="shared" si="3"/>
        <v>MAILSON FRANCISCO</v>
      </c>
      <c r="H56" t="str">
        <f>IFERROR(VLOOKUP(D56,CPF!A:D,4,0),"NAO ENCONTRADO")</f>
        <v>NAO ENCONTRADO</v>
      </c>
    </row>
    <row r="57" spans="1:8" x14ac:dyDescent="0.3">
      <c r="A57" s="44"/>
      <c r="B57" s="44" t="str">
        <f t="shared" si="4"/>
        <v>WA.ME/55</v>
      </c>
      <c r="C57" s="46" t="s">
        <v>158</v>
      </c>
      <c r="D57" s="50" t="s">
        <v>160</v>
      </c>
      <c r="E57" s="44"/>
      <c r="F57" s="44" t="str">
        <f t="shared" si="5"/>
        <v>WA.ME/55</v>
      </c>
      <c r="G57" s="47" t="str">
        <f t="shared" si="3"/>
        <v>MAILSON FRANCISCO</v>
      </c>
      <c r="H57" t="str">
        <f>IFERROR(VLOOKUP(D57,CPF!A:D,4,0),"NAO ENCONTRADO")</f>
        <v>NAO ENCONTRADO</v>
      </c>
    </row>
    <row r="58" spans="1:8" x14ac:dyDescent="0.3">
      <c r="A58" s="44"/>
      <c r="B58" s="44" t="str">
        <f t="shared" si="4"/>
        <v>WA.ME/55</v>
      </c>
      <c r="C58" s="46" t="s">
        <v>158</v>
      </c>
      <c r="D58" s="50" t="s">
        <v>177</v>
      </c>
      <c r="E58" s="44"/>
      <c r="F58" s="44" t="str">
        <f t="shared" si="5"/>
        <v>WA.ME/55</v>
      </c>
      <c r="G58" s="47" t="str">
        <f t="shared" si="3"/>
        <v>MAILSON FRANCISCO</v>
      </c>
      <c r="H58" t="str">
        <f>IFERROR(VLOOKUP(D58,CPF!A:D,4,0),"NAO ENCONTRADO")</f>
        <v>769.663.563-87</v>
      </c>
    </row>
    <row r="59" spans="1:8" x14ac:dyDescent="0.3">
      <c r="A59" s="44"/>
      <c r="B59" s="44" t="str">
        <f t="shared" si="4"/>
        <v>WA.ME/55</v>
      </c>
      <c r="C59" s="46" t="s">
        <v>158</v>
      </c>
      <c r="D59" s="50"/>
      <c r="E59" s="44"/>
      <c r="F59" s="44" t="str">
        <f t="shared" si="5"/>
        <v>WA.ME/55</v>
      </c>
      <c r="G59" s="47" t="str">
        <f t="shared" si="3"/>
        <v>MAILSON FRANCISCO</v>
      </c>
      <c r="H59" t="str">
        <f>IFERROR(VLOOKUP(D59,CPF!A:D,4,0),"NAO ENCONTRADO")</f>
        <v>NAO ENCONTRADO</v>
      </c>
    </row>
    <row r="60" spans="1:8" x14ac:dyDescent="0.3">
      <c r="A60" s="44"/>
      <c r="B60" s="44" t="str">
        <f t="shared" si="4"/>
        <v>WA.ME/55</v>
      </c>
      <c r="C60" s="46" t="s">
        <v>158</v>
      </c>
      <c r="D60" s="50" t="s">
        <v>113</v>
      </c>
      <c r="E60" s="44"/>
      <c r="F60" s="44" t="str">
        <f t="shared" si="5"/>
        <v>WA.ME/55</v>
      </c>
      <c r="G60" s="47" t="str">
        <f t="shared" si="3"/>
        <v>MAILSON FRANCISCO</v>
      </c>
      <c r="H60" t="str">
        <f>IFERROR(VLOOKUP(D60,CPF!A:D,4,0),"NAO ENCONTRADO")</f>
        <v>112.311.524-94</v>
      </c>
    </row>
    <row r="61" spans="1:8" x14ac:dyDescent="0.3">
      <c r="A61" s="44"/>
      <c r="B61" s="44" t="str">
        <f t="shared" si="4"/>
        <v>WA.ME/55</v>
      </c>
      <c r="C61" s="46" t="s">
        <v>158</v>
      </c>
      <c r="D61" s="50" t="s">
        <v>179</v>
      </c>
      <c r="E61" s="44"/>
      <c r="F61" s="44" t="str">
        <f t="shared" si="5"/>
        <v>WA.ME/55</v>
      </c>
      <c r="G61" s="47" t="str">
        <f t="shared" si="3"/>
        <v>MAILSON FRANCISCO</v>
      </c>
      <c r="H61" t="str">
        <f>IFERROR(VLOOKUP(D61,CPF!A:D,4,0),"NAO ENCONTRADO")</f>
        <v>664.730.393-68</v>
      </c>
    </row>
    <row r="62" spans="1:8" x14ac:dyDescent="0.3">
      <c r="A62" s="44"/>
      <c r="B62" s="44" t="str">
        <f t="shared" si="4"/>
        <v>WA.ME/55</v>
      </c>
      <c r="C62" s="46" t="s">
        <v>158</v>
      </c>
      <c r="D62" s="50" t="s">
        <v>114</v>
      </c>
      <c r="E62" s="44"/>
      <c r="F62" s="44" t="str">
        <f t="shared" si="5"/>
        <v>WA.ME/55</v>
      </c>
      <c r="G62" s="47" t="str">
        <f t="shared" si="3"/>
        <v>MAILSON FRANCISCO</v>
      </c>
      <c r="H62" t="str">
        <f>IFERROR(VLOOKUP(D62,CPF!A:D,4,0),"NAO ENCONTRADO")</f>
        <v>051.352.823-78</v>
      </c>
    </row>
    <row r="63" spans="1:8" x14ac:dyDescent="0.3">
      <c r="A63" s="44"/>
      <c r="B63" s="44" t="str">
        <f t="shared" si="4"/>
        <v>WA.ME/55</v>
      </c>
      <c r="C63" s="46" t="s">
        <v>158</v>
      </c>
      <c r="D63" s="50" t="s">
        <v>110</v>
      </c>
      <c r="E63" s="44"/>
      <c r="F63" s="44" t="str">
        <f t="shared" si="5"/>
        <v>WA.ME/55</v>
      </c>
      <c r="G63" s="47" t="str">
        <f t="shared" si="3"/>
        <v>MAILSON FRANCISCO</v>
      </c>
      <c r="H63" t="str">
        <f>IFERROR(VLOOKUP(D63,CPF!A:D,4,0),"NAO ENCONTRADO")</f>
        <v>625.648.953-52</v>
      </c>
    </row>
    <row r="64" spans="1:8" x14ac:dyDescent="0.3">
      <c r="A64" s="44"/>
      <c r="B64" s="44" t="str">
        <f t="shared" si="4"/>
        <v>WA.ME/55</v>
      </c>
      <c r="C64" s="46" t="s">
        <v>158</v>
      </c>
      <c r="D64" s="50" t="s">
        <v>115</v>
      </c>
      <c r="E64" s="44"/>
      <c r="F64" s="44" t="str">
        <f t="shared" si="5"/>
        <v>WA.ME/55</v>
      </c>
      <c r="G64" s="47" t="str">
        <f t="shared" si="3"/>
        <v>MAILSON FRANCISCO</v>
      </c>
      <c r="H64" t="str">
        <f>IFERROR(VLOOKUP(D64,CPF!A:D,4,0),"NAO ENCONTRADO")</f>
        <v>100.473.673-85</v>
      </c>
    </row>
    <row r="65" spans="1:8" x14ac:dyDescent="0.3">
      <c r="A65" s="44"/>
      <c r="B65" s="44" t="str">
        <f t="shared" si="4"/>
        <v>WA.ME/55</v>
      </c>
      <c r="C65" s="46" t="s">
        <v>158</v>
      </c>
      <c r="D65" s="50" t="s">
        <v>184</v>
      </c>
      <c r="E65" s="44"/>
      <c r="F65" s="44" t="str">
        <f t="shared" si="5"/>
        <v>WA.ME/55</v>
      </c>
      <c r="G65" s="47" t="str">
        <f t="shared" si="3"/>
        <v>MAILSON FRANCISCO</v>
      </c>
      <c r="H65" t="str">
        <f>IFERROR(VLOOKUP(D65,CPF!A:D,4,0),"NAO ENCONTRADO")</f>
        <v>NAO ENCONTRADO</v>
      </c>
    </row>
    <row r="66" spans="1:8" x14ac:dyDescent="0.3">
      <c r="A66" s="48"/>
      <c r="B66" s="44" t="str">
        <f t="shared" si="4"/>
        <v>WA.ME/55</v>
      </c>
      <c r="C66" s="46" t="s">
        <v>158</v>
      </c>
      <c r="D66" s="50" t="s">
        <v>185</v>
      </c>
      <c r="E66" s="48"/>
      <c r="F66" s="44" t="str">
        <f t="shared" si="5"/>
        <v>WA.ME/55</v>
      </c>
      <c r="G66" s="47" t="str">
        <f t="shared" si="3"/>
        <v>MAILSON FRANCISCO</v>
      </c>
      <c r="H66" t="str">
        <f>IFERROR(VLOOKUP(D66,CPF!A:D,4,0),"NAO ENCONTRADO")</f>
        <v>625.271.283-35</v>
      </c>
    </row>
    <row r="67" spans="1:8" x14ac:dyDescent="0.3">
      <c r="A67" s="44"/>
      <c r="B67" s="44" t="str">
        <f t="shared" si="4"/>
        <v>WA.ME/55</v>
      </c>
      <c r="C67" s="46" t="s">
        <v>158</v>
      </c>
      <c r="D67" s="50" t="s">
        <v>161</v>
      </c>
      <c r="E67" s="44"/>
      <c r="F67" s="44" t="str">
        <f t="shared" si="5"/>
        <v>WA.ME/55</v>
      </c>
      <c r="G67" s="47" t="str">
        <f t="shared" ref="G67:G98" si="6">C67</f>
        <v>MAILSON FRANCISCO</v>
      </c>
      <c r="H67" t="str">
        <f>IFERROR(VLOOKUP(D67,CPF!A:D,4,0),"NAO ENCONTRADO")</f>
        <v>NAO ENCONTRADO</v>
      </c>
    </row>
    <row r="68" spans="1:8" x14ac:dyDescent="0.3">
      <c r="A68" s="44"/>
      <c r="B68" s="44" t="str">
        <f t="shared" ref="B68:B99" si="7">CONCATENATE($A$1,A68)</f>
        <v>WA.ME/55</v>
      </c>
      <c r="C68" s="46" t="s">
        <v>158</v>
      </c>
      <c r="D68" s="50" t="s">
        <v>159</v>
      </c>
      <c r="E68" s="44"/>
      <c r="F68" s="44" t="str">
        <f t="shared" ref="F68:F99" si="8">CONCATENATE($E$1,E68)</f>
        <v>WA.ME/55</v>
      </c>
      <c r="G68" s="47" t="str">
        <f t="shared" si="6"/>
        <v>MAILSON FRANCISCO</v>
      </c>
      <c r="H68" t="str">
        <f>IFERROR(VLOOKUP(D68,CPF!A:D,4,0),"NAO ENCONTRADO")</f>
        <v>NAO ENCONTRADO</v>
      </c>
    </row>
    <row r="69" spans="1:8" x14ac:dyDescent="0.3">
      <c r="A69" s="44"/>
      <c r="B69" s="44" t="str">
        <f t="shared" si="7"/>
        <v>WA.ME/55</v>
      </c>
      <c r="C69" s="46" t="s">
        <v>158</v>
      </c>
      <c r="D69" s="50" t="s">
        <v>109</v>
      </c>
      <c r="E69" s="44"/>
      <c r="F69" s="44" t="str">
        <f t="shared" si="8"/>
        <v>WA.ME/55</v>
      </c>
      <c r="G69" s="47" t="str">
        <f t="shared" si="6"/>
        <v>MAILSON FRANCISCO</v>
      </c>
      <c r="H69" t="str">
        <f>IFERROR(VLOOKUP(D69,CPF!A:D,4,0),"NAO ENCONTRADO")</f>
        <v>080.135.683-00</v>
      </c>
    </row>
    <row r="70" spans="1:8" x14ac:dyDescent="0.3">
      <c r="A70" s="44"/>
      <c r="B70" s="44" t="str">
        <f t="shared" si="7"/>
        <v>WA.ME/55</v>
      </c>
      <c r="C70" s="46" t="s">
        <v>158</v>
      </c>
      <c r="D70" s="44"/>
      <c r="E70" s="44"/>
      <c r="F70" s="44" t="str">
        <f t="shared" si="8"/>
        <v>WA.ME/55</v>
      </c>
      <c r="G70" s="47" t="str">
        <f t="shared" si="6"/>
        <v>MAILSON FRANCISCO</v>
      </c>
      <c r="H70" t="str">
        <f>IFERROR(VLOOKUP(D70,CPF!A:D,4,0),"NAO ENCONTRADO")</f>
        <v>NAO ENCONTRADO</v>
      </c>
    </row>
    <row r="71" spans="1:8" x14ac:dyDescent="0.3">
      <c r="A71" s="44"/>
      <c r="B71" s="44" t="str">
        <f t="shared" si="7"/>
        <v>WA.ME/55</v>
      </c>
      <c r="C71" s="46" t="s">
        <v>158</v>
      </c>
      <c r="D71" s="44"/>
      <c r="E71" s="44"/>
      <c r="F71" s="44" t="str">
        <f t="shared" si="8"/>
        <v>WA.ME/55</v>
      </c>
      <c r="G71" s="47" t="str">
        <f t="shared" si="6"/>
        <v>MAILSON FRANCISCO</v>
      </c>
      <c r="H71" t="str">
        <f>IFERROR(VLOOKUP(D71,CPF!A:D,4,0),"NAO ENCONTRADO")</f>
        <v>NAO ENCONTRADO</v>
      </c>
    </row>
    <row r="72" spans="1:8" x14ac:dyDescent="0.3">
      <c r="A72" s="44"/>
      <c r="B72" s="44" t="str">
        <f t="shared" si="7"/>
        <v>WA.ME/55</v>
      </c>
      <c r="C72" s="46" t="s">
        <v>158</v>
      </c>
      <c r="D72" s="44"/>
      <c r="E72" s="44"/>
      <c r="F72" s="44" t="str">
        <f t="shared" si="8"/>
        <v>WA.ME/55</v>
      </c>
      <c r="G72" s="47" t="str">
        <f t="shared" si="6"/>
        <v>MAILSON FRANCISCO</v>
      </c>
      <c r="H72" t="str">
        <f>IFERROR(VLOOKUP(D72,CPF!A:D,4,0),"NAO ENCONTRADO")</f>
        <v>NAO ENCONTRADO</v>
      </c>
    </row>
    <row r="73" spans="1:8" x14ac:dyDescent="0.3">
      <c r="A73" s="44"/>
      <c r="B73" s="44" t="str">
        <f t="shared" si="7"/>
        <v>WA.ME/55</v>
      </c>
      <c r="C73" s="46" t="s">
        <v>158</v>
      </c>
      <c r="D73" s="44"/>
      <c r="E73" s="44"/>
      <c r="F73" s="44" t="str">
        <f t="shared" si="8"/>
        <v>WA.ME/55</v>
      </c>
      <c r="G73" s="47" t="str">
        <f t="shared" si="6"/>
        <v>MAILSON FRANCISCO</v>
      </c>
      <c r="H73" t="str">
        <f>IFERROR(VLOOKUP(D73,CPF!A:D,4,0),"NAO ENCONTRADO")</f>
        <v>NAO ENCONTRADO</v>
      </c>
    </row>
    <row r="74" spans="1:8" x14ac:dyDescent="0.3">
      <c r="A74" s="44"/>
      <c r="B74" s="44" t="str">
        <f t="shared" si="7"/>
        <v>WA.ME/55</v>
      </c>
      <c r="C74" s="46" t="s">
        <v>158</v>
      </c>
      <c r="D74" s="44"/>
      <c r="E74" s="44"/>
      <c r="F74" s="44" t="str">
        <f t="shared" si="8"/>
        <v>WA.ME/55</v>
      </c>
      <c r="G74" s="47" t="str">
        <f t="shared" si="6"/>
        <v>MAILSON FRANCISCO</v>
      </c>
      <c r="H74" t="str">
        <f>IFERROR(VLOOKUP(D74,CPF!A:D,4,0),"NAO ENCONTRADO")</f>
        <v>NAO ENCONTRADO</v>
      </c>
    </row>
    <row r="75" spans="1:8" x14ac:dyDescent="0.3">
      <c r="A75" s="44"/>
      <c r="B75" s="44" t="str">
        <f t="shared" si="7"/>
        <v>WA.ME/55</v>
      </c>
      <c r="C75" s="46" t="s">
        <v>158</v>
      </c>
      <c r="D75" s="44"/>
      <c r="E75" s="44"/>
      <c r="F75" s="44" t="str">
        <f t="shared" si="8"/>
        <v>WA.ME/55</v>
      </c>
      <c r="G75" s="47" t="str">
        <f t="shared" si="6"/>
        <v>MAILSON FRANCISCO</v>
      </c>
      <c r="H75" t="str">
        <f>IFERROR(VLOOKUP(D75,CPF!A:D,4,0),"NAO ENCONTRADO")</f>
        <v>NAO ENCONTRADO</v>
      </c>
    </row>
    <row r="76" spans="1:8" x14ac:dyDescent="0.3">
      <c r="A76" s="48"/>
      <c r="B76" s="44" t="str">
        <f t="shared" si="7"/>
        <v>WA.ME/55</v>
      </c>
      <c r="C76" s="53" t="s">
        <v>149</v>
      </c>
      <c r="D76" s="50" t="s">
        <v>99</v>
      </c>
      <c r="E76" s="48"/>
      <c r="F76" s="44" t="str">
        <f t="shared" si="8"/>
        <v>WA.ME/55</v>
      </c>
      <c r="G76" s="47" t="str">
        <f t="shared" si="6"/>
        <v>MARCOS VICTOR</v>
      </c>
      <c r="H76" t="str">
        <f>IFERROR(VLOOKUP(D76,CPF!A:D,4,0),"NAO ENCONTRADO")</f>
        <v>066.675.003-38</v>
      </c>
    </row>
    <row r="77" spans="1:8" x14ac:dyDescent="0.3">
      <c r="A77" s="48"/>
      <c r="B77" s="44" t="str">
        <f t="shared" si="7"/>
        <v>WA.ME/55</v>
      </c>
      <c r="C77" s="53" t="s">
        <v>149</v>
      </c>
      <c r="D77" s="50" t="s">
        <v>15</v>
      </c>
      <c r="E77" s="48"/>
      <c r="F77" s="44" t="str">
        <f t="shared" si="8"/>
        <v>WA.ME/55</v>
      </c>
      <c r="G77" s="47" t="str">
        <f t="shared" si="6"/>
        <v>MARCOS VICTOR</v>
      </c>
      <c r="H77" t="str">
        <f>IFERROR(VLOOKUP(D77,CPF!A:D,4,0),"NAO ENCONTRADO")</f>
        <v>071.005.963-94</v>
      </c>
    </row>
    <row r="78" spans="1:8" x14ac:dyDescent="0.3">
      <c r="A78" s="48"/>
      <c r="B78" s="44" t="str">
        <f t="shared" si="7"/>
        <v>WA.ME/55</v>
      </c>
      <c r="C78" s="53" t="s">
        <v>149</v>
      </c>
      <c r="D78" s="50" t="s">
        <v>102</v>
      </c>
      <c r="E78" s="48"/>
      <c r="F78" s="44" t="str">
        <f t="shared" si="8"/>
        <v>WA.ME/55</v>
      </c>
      <c r="G78" s="47" t="str">
        <f t="shared" si="6"/>
        <v>MARCOS VICTOR</v>
      </c>
      <c r="H78" t="str">
        <f>IFERROR(VLOOKUP(D78,CPF!A:D,4,0),"NAO ENCONTRADO")</f>
        <v>076.287.933-55</v>
      </c>
    </row>
    <row r="79" spans="1:8" x14ac:dyDescent="0.3">
      <c r="A79" s="48"/>
      <c r="B79" s="44" t="str">
        <f t="shared" si="7"/>
        <v>WA.ME/55</v>
      </c>
      <c r="C79" s="53" t="s">
        <v>149</v>
      </c>
      <c r="D79" s="50" t="s">
        <v>94</v>
      </c>
      <c r="E79" s="48"/>
      <c r="F79" s="44" t="str">
        <f t="shared" si="8"/>
        <v>WA.ME/55</v>
      </c>
      <c r="G79" s="47" t="str">
        <f t="shared" si="6"/>
        <v>MARCOS VICTOR</v>
      </c>
      <c r="H79" t="str">
        <f>IFERROR(VLOOKUP(D79,CPF!A:D,4,0),"NAO ENCONTRADO")</f>
        <v>009.280.143-98</v>
      </c>
    </row>
    <row r="80" spans="1:8" x14ac:dyDescent="0.3">
      <c r="A80" s="48"/>
      <c r="B80" s="44" t="str">
        <f t="shared" si="7"/>
        <v>WA.ME/55</v>
      </c>
      <c r="C80" s="53" t="s">
        <v>149</v>
      </c>
      <c r="D80" s="50" t="s">
        <v>16</v>
      </c>
      <c r="E80" s="48"/>
      <c r="F80" s="44" t="str">
        <f t="shared" si="8"/>
        <v>WA.ME/55</v>
      </c>
      <c r="G80" s="47" t="str">
        <f t="shared" si="6"/>
        <v>MARCOS VICTOR</v>
      </c>
      <c r="H80" t="str">
        <f>IFERROR(VLOOKUP(D80,CPF!A:D,4,0),"NAO ENCONTRADO")</f>
        <v>072.535.953-60</v>
      </c>
    </row>
    <row r="81" spans="1:8" x14ac:dyDescent="0.3">
      <c r="A81" s="48"/>
      <c r="B81" s="44" t="str">
        <f t="shared" si="7"/>
        <v>WA.ME/55</v>
      </c>
      <c r="C81" s="53" t="s">
        <v>149</v>
      </c>
      <c r="D81" s="50" t="s">
        <v>19</v>
      </c>
      <c r="E81" s="48"/>
      <c r="F81" s="44" t="str">
        <f t="shared" si="8"/>
        <v>WA.ME/55</v>
      </c>
      <c r="G81" s="47" t="str">
        <f t="shared" si="6"/>
        <v>MARCOS VICTOR</v>
      </c>
      <c r="H81" t="str">
        <f>IFERROR(VLOOKUP(D81,CPF!A:D,4,0),"NAO ENCONTRADO")</f>
        <v>622.847.103-10</v>
      </c>
    </row>
    <row r="82" spans="1:8" x14ac:dyDescent="0.3">
      <c r="A82" s="48"/>
      <c r="B82" s="44" t="str">
        <f t="shared" si="7"/>
        <v>WA.ME/55</v>
      </c>
      <c r="C82" s="53" t="s">
        <v>149</v>
      </c>
      <c r="D82" s="50" t="s">
        <v>20</v>
      </c>
      <c r="E82" s="48"/>
      <c r="F82" s="44" t="str">
        <f t="shared" si="8"/>
        <v>WA.ME/55</v>
      </c>
      <c r="G82" s="47" t="str">
        <f t="shared" si="6"/>
        <v>MARCOS VICTOR</v>
      </c>
      <c r="H82" t="str">
        <f>IFERROR(VLOOKUP(D82,CPF!A:D,4,0),"NAO ENCONTRADO")</f>
        <v>072.308.153-04</v>
      </c>
    </row>
    <row r="83" spans="1:8" x14ac:dyDescent="0.3">
      <c r="A83" s="48"/>
      <c r="B83" s="44" t="str">
        <f t="shared" si="7"/>
        <v>WA.ME/55</v>
      </c>
      <c r="C83" s="53" t="s">
        <v>149</v>
      </c>
      <c r="D83" s="50" t="s">
        <v>86</v>
      </c>
      <c r="E83" s="48"/>
      <c r="F83" s="44" t="str">
        <f t="shared" si="8"/>
        <v>WA.ME/55</v>
      </c>
      <c r="G83" s="47" t="str">
        <f t="shared" si="6"/>
        <v>MARCOS VICTOR</v>
      </c>
      <c r="H83" t="str">
        <f>IFERROR(VLOOKUP(D83,CPF!A:D,4,0),"NAO ENCONTRADO")</f>
        <v>NAO ENCONTRADO</v>
      </c>
    </row>
    <row r="84" spans="1:8" x14ac:dyDescent="0.3">
      <c r="A84" s="48"/>
      <c r="B84" s="44" t="str">
        <f t="shared" si="7"/>
        <v>WA.ME/55</v>
      </c>
      <c r="C84" s="53" t="s">
        <v>149</v>
      </c>
      <c r="D84" s="50" t="s">
        <v>22</v>
      </c>
      <c r="E84" s="48"/>
      <c r="F84" s="44" t="str">
        <f t="shared" si="8"/>
        <v>WA.ME/55</v>
      </c>
      <c r="G84" s="47" t="str">
        <f t="shared" si="6"/>
        <v>MARCOS VICTOR</v>
      </c>
      <c r="H84" t="str">
        <f>IFERROR(VLOOKUP(D84,CPF!A:D,4,0),"NAO ENCONTRADO")</f>
        <v>076.597.513-01</v>
      </c>
    </row>
    <row r="85" spans="1:8" x14ac:dyDescent="0.3">
      <c r="A85" s="48"/>
      <c r="B85" s="44" t="str">
        <f t="shared" si="7"/>
        <v>WA.ME/55</v>
      </c>
      <c r="C85" s="53" t="s">
        <v>149</v>
      </c>
      <c r="D85" s="50" t="s">
        <v>87</v>
      </c>
      <c r="E85" s="48"/>
      <c r="F85" s="44" t="str">
        <f t="shared" si="8"/>
        <v>WA.ME/55</v>
      </c>
      <c r="G85" s="47" t="str">
        <f t="shared" si="6"/>
        <v>MARCOS VICTOR</v>
      </c>
      <c r="H85" t="str">
        <f>IFERROR(VLOOKUP(D85,CPF!A:D,4,0),"NAO ENCONTRADO")</f>
        <v>NAO ENCONTRADO</v>
      </c>
    </row>
    <row r="86" spans="1:8" x14ac:dyDescent="0.3">
      <c r="A86" s="48"/>
      <c r="B86" s="44" t="str">
        <f t="shared" si="7"/>
        <v>WA.ME/55</v>
      </c>
      <c r="C86" s="53" t="s">
        <v>149</v>
      </c>
      <c r="D86" s="50" t="s">
        <v>121</v>
      </c>
      <c r="E86" s="48"/>
      <c r="F86" s="44" t="str">
        <f t="shared" si="8"/>
        <v>WA.ME/55</v>
      </c>
      <c r="G86" s="47" t="str">
        <f t="shared" si="6"/>
        <v>MARCOS VICTOR</v>
      </c>
      <c r="H86" t="str">
        <f>IFERROR(VLOOKUP(D86,CPF!A:D,4,0),"NAO ENCONTRADO")</f>
        <v>NAO ENCONTRADO</v>
      </c>
    </row>
    <row r="87" spans="1:8" x14ac:dyDescent="0.3">
      <c r="A87" s="48"/>
      <c r="B87" s="44" t="str">
        <f t="shared" si="7"/>
        <v>WA.ME/55</v>
      </c>
      <c r="C87" s="53" t="s">
        <v>149</v>
      </c>
      <c r="D87" s="50" t="s">
        <v>176</v>
      </c>
      <c r="E87" s="48"/>
      <c r="F87" s="44" t="str">
        <f t="shared" si="8"/>
        <v>WA.ME/55</v>
      </c>
      <c r="G87" s="47" t="str">
        <f t="shared" si="6"/>
        <v>MARCOS VICTOR</v>
      </c>
      <c r="H87" t="str">
        <f>IFERROR(VLOOKUP(D87,CPF!A:D,4,0),"NAO ENCONTRADO")</f>
        <v>NAO ENCONTRADO</v>
      </c>
    </row>
    <row r="88" spans="1:8" x14ac:dyDescent="0.3">
      <c r="A88" s="48"/>
      <c r="B88" s="44" t="str">
        <f t="shared" si="7"/>
        <v>WA.ME/55</v>
      </c>
      <c r="C88" s="53" t="s">
        <v>149</v>
      </c>
      <c r="D88" s="50" t="s">
        <v>27</v>
      </c>
      <c r="E88" s="48"/>
      <c r="F88" s="44" t="str">
        <f t="shared" si="8"/>
        <v>WA.ME/55</v>
      </c>
      <c r="G88" s="47" t="str">
        <f t="shared" si="6"/>
        <v>MARCOS VICTOR</v>
      </c>
      <c r="H88" t="str">
        <f>IFERROR(VLOOKUP(D88,CPF!A:D,4,0),"NAO ENCONTRADO")</f>
        <v>078.114.013-71</v>
      </c>
    </row>
    <row r="89" spans="1:8" x14ac:dyDescent="0.3">
      <c r="A89" s="48"/>
      <c r="B89" s="44" t="str">
        <f t="shared" si="7"/>
        <v>WA.ME/55</v>
      </c>
      <c r="C89" s="53" t="s">
        <v>149</v>
      </c>
      <c r="D89" s="50" t="s">
        <v>122</v>
      </c>
      <c r="E89" s="48"/>
      <c r="F89" s="44" t="str">
        <f t="shared" si="8"/>
        <v>WA.ME/55</v>
      </c>
      <c r="G89" s="47" t="str">
        <f t="shared" si="6"/>
        <v>MARCOS VICTOR</v>
      </c>
      <c r="H89" t="str">
        <f>IFERROR(VLOOKUP(D89,CPF!A:D,4,0),"NAO ENCONTRADO")</f>
        <v>NAO ENCONTRADO</v>
      </c>
    </row>
    <row r="90" spans="1:8" x14ac:dyDescent="0.3">
      <c r="A90" s="48"/>
      <c r="B90" s="44" t="str">
        <f t="shared" si="7"/>
        <v>WA.ME/55</v>
      </c>
      <c r="C90" s="53" t="s">
        <v>149</v>
      </c>
      <c r="D90" s="50" t="s">
        <v>88</v>
      </c>
      <c r="E90" s="48"/>
      <c r="F90" s="44" t="str">
        <f t="shared" si="8"/>
        <v>WA.ME/55</v>
      </c>
      <c r="G90" s="47" t="str">
        <f t="shared" si="6"/>
        <v>MARCOS VICTOR</v>
      </c>
      <c r="H90" t="str">
        <f>IFERROR(VLOOKUP(D90,CPF!A:D,4,0),"NAO ENCONTRADO")</f>
        <v>008.385.843-14</v>
      </c>
    </row>
    <row r="91" spans="1:8" x14ac:dyDescent="0.3">
      <c r="A91" s="48"/>
      <c r="B91" s="44" t="str">
        <f t="shared" si="7"/>
        <v>WA.ME/55</v>
      </c>
      <c r="C91" s="53" t="s">
        <v>149</v>
      </c>
      <c r="D91" s="50" t="s">
        <v>30</v>
      </c>
      <c r="E91" s="48"/>
      <c r="F91" s="44" t="str">
        <f t="shared" si="8"/>
        <v>WA.ME/55</v>
      </c>
      <c r="G91" s="47" t="str">
        <f t="shared" si="6"/>
        <v>MARCOS VICTOR</v>
      </c>
      <c r="H91" t="str">
        <f>IFERROR(VLOOKUP(D91,CPF!A:D,4,0),"NAO ENCONTRADO")</f>
        <v>040.337.373-59</v>
      </c>
    </row>
    <row r="92" spans="1:8" x14ac:dyDescent="0.3">
      <c r="A92" s="48"/>
      <c r="B92" s="44" t="str">
        <f t="shared" si="7"/>
        <v>WA.ME/55</v>
      </c>
      <c r="C92" s="53" t="s">
        <v>149</v>
      </c>
      <c r="D92" s="50" t="s">
        <v>32</v>
      </c>
      <c r="E92" s="48"/>
      <c r="F92" s="44" t="str">
        <f t="shared" si="8"/>
        <v>WA.ME/55</v>
      </c>
      <c r="G92" s="47" t="str">
        <f t="shared" si="6"/>
        <v>MARCOS VICTOR</v>
      </c>
      <c r="H92" t="str">
        <f>IFERROR(VLOOKUP(D92,CPF!A:D,4,0),"NAO ENCONTRADO")</f>
        <v>604.677.683-07</v>
      </c>
    </row>
    <row r="93" spans="1:8" x14ac:dyDescent="0.3">
      <c r="A93" s="48"/>
      <c r="B93" s="44" t="str">
        <f t="shared" si="7"/>
        <v>WA.ME/55</v>
      </c>
      <c r="C93" s="53" t="s">
        <v>149</v>
      </c>
      <c r="D93" s="50" t="s">
        <v>33</v>
      </c>
      <c r="E93" s="48"/>
      <c r="F93" s="44" t="str">
        <f t="shared" si="8"/>
        <v>WA.ME/55</v>
      </c>
      <c r="G93" s="47" t="str">
        <f t="shared" si="6"/>
        <v>MARCOS VICTOR</v>
      </c>
      <c r="H93" t="str">
        <f>IFERROR(VLOOKUP(D93,CPF!A:D,4,0),"NAO ENCONTRADO")</f>
        <v>065.966.543-38</v>
      </c>
    </row>
    <row r="94" spans="1:8" x14ac:dyDescent="0.3">
      <c r="A94" s="48"/>
      <c r="B94" s="44" t="str">
        <f t="shared" si="7"/>
        <v>WA.ME/55</v>
      </c>
      <c r="C94" s="53" t="s">
        <v>149</v>
      </c>
      <c r="D94" s="50" t="s">
        <v>123</v>
      </c>
      <c r="E94" s="48"/>
      <c r="F94" s="44" t="str">
        <f t="shared" si="8"/>
        <v>WA.ME/55</v>
      </c>
      <c r="G94" s="47" t="str">
        <f t="shared" si="6"/>
        <v>MARCOS VICTOR</v>
      </c>
      <c r="H94" t="str">
        <f>IFERROR(VLOOKUP(D94,CPF!A:D,4,0),"NAO ENCONTRADO")</f>
        <v>NAO ENCONTRADO</v>
      </c>
    </row>
    <row r="95" spans="1:8" x14ac:dyDescent="0.3">
      <c r="A95" s="48"/>
      <c r="B95" s="44" t="str">
        <f t="shared" si="7"/>
        <v>WA.ME/55</v>
      </c>
      <c r="C95" s="53" t="s">
        <v>149</v>
      </c>
      <c r="D95" s="50" t="s">
        <v>44</v>
      </c>
      <c r="E95" s="48"/>
      <c r="F95" s="44" t="str">
        <f t="shared" si="8"/>
        <v>WA.ME/55</v>
      </c>
      <c r="G95" s="47" t="str">
        <f t="shared" si="6"/>
        <v>MARCOS VICTOR</v>
      </c>
      <c r="H95" t="str">
        <f>IFERROR(VLOOKUP(D95,CPF!A:D,4,0),"NAO ENCONTRADO")</f>
        <v>NAO ENCONTRADO</v>
      </c>
    </row>
    <row r="96" spans="1:8" x14ac:dyDescent="0.3">
      <c r="A96" s="48"/>
      <c r="B96" s="44" t="str">
        <f t="shared" si="7"/>
        <v>WA.ME/55</v>
      </c>
      <c r="C96" s="53" t="s">
        <v>149</v>
      </c>
      <c r="D96" s="50" t="s">
        <v>101</v>
      </c>
      <c r="E96" s="48"/>
      <c r="F96" s="44" t="str">
        <f t="shared" si="8"/>
        <v>WA.ME/55</v>
      </c>
      <c r="G96" s="47" t="str">
        <f t="shared" si="6"/>
        <v>MARCOS VICTOR</v>
      </c>
      <c r="H96" t="str">
        <f>IFERROR(VLOOKUP(D96,CPF!A:D,4,0),"NAO ENCONTRADO")</f>
        <v>033.727.593-97</v>
      </c>
    </row>
    <row r="97" spans="1:8" x14ac:dyDescent="0.3">
      <c r="A97" s="48"/>
      <c r="B97" s="44" t="str">
        <f t="shared" si="7"/>
        <v>WA.ME/55</v>
      </c>
      <c r="C97" s="53" t="s">
        <v>149</v>
      </c>
      <c r="D97" s="50" t="s">
        <v>45</v>
      </c>
      <c r="E97" s="48"/>
      <c r="F97" s="44" t="str">
        <f t="shared" si="8"/>
        <v>WA.ME/55</v>
      </c>
      <c r="G97" s="47" t="str">
        <f t="shared" si="6"/>
        <v>MARCOS VICTOR</v>
      </c>
      <c r="H97" t="str">
        <f>IFERROR(VLOOKUP(D97,CPF!A:D,4,0),"NAO ENCONTRADO")</f>
        <v>NAO ENCONTRADO</v>
      </c>
    </row>
    <row r="98" spans="1:8" x14ac:dyDescent="0.3">
      <c r="A98" s="48"/>
      <c r="B98" s="44" t="str">
        <f t="shared" si="7"/>
        <v>WA.ME/55</v>
      </c>
      <c r="C98" s="53" t="s">
        <v>149</v>
      </c>
      <c r="D98" s="50" t="s">
        <v>183</v>
      </c>
      <c r="E98" s="48"/>
      <c r="F98" s="44" t="str">
        <f t="shared" si="8"/>
        <v>WA.ME/55</v>
      </c>
      <c r="G98" s="47" t="str">
        <f t="shared" si="6"/>
        <v>MARCOS VICTOR</v>
      </c>
      <c r="H98" t="str">
        <f>IFERROR(VLOOKUP(D98,CPF!A:D,4,0),"NAO ENCONTRADO")</f>
        <v>NAO ENCONTRADO</v>
      </c>
    </row>
    <row r="99" spans="1:8" x14ac:dyDescent="0.3">
      <c r="A99" s="48"/>
      <c r="B99" s="44" t="str">
        <f t="shared" si="7"/>
        <v>WA.ME/55</v>
      </c>
      <c r="C99" s="53" t="s">
        <v>149</v>
      </c>
      <c r="D99" s="50" t="s">
        <v>126</v>
      </c>
      <c r="E99" s="48"/>
      <c r="F99" s="44" t="str">
        <f t="shared" si="8"/>
        <v>WA.ME/55</v>
      </c>
      <c r="G99" s="47" t="str">
        <f t="shared" ref="G99:G130" si="9">C99</f>
        <v>MARCOS VICTOR</v>
      </c>
      <c r="H99" t="str">
        <f>IFERROR(VLOOKUP(D99,CPF!A:D,4,0),"NAO ENCONTRADO")</f>
        <v>604.548.913-69</v>
      </c>
    </row>
    <row r="100" spans="1:8" x14ac:dyDescent="0.3">
      <c r="A100" s="48"/>
      <c r="B100" s="44" t="str">
        <f t="shared" ref="B100:B131" si="10">CONCATENATE($A$1,A100)</f>
        <v>WA.ME/55</v>
      </c>
      <c r="C100" s="53" t="s">
        <v>149</v>
      </c>
      <c r="D100" s="50" t="s">
        <v>90</v>
      </c>
      <c r="E100" s="48"/>
      <c r="F100" s="44" t="str">
        <f t="shared" ref="F100:F131" si="11">CONCATENATE($E$1,E100)</f>
        <v>WA.ME/55</v>
      </c>
      <c r="G100" s="47" t="str">
        <f t="shared" si="9"/>
        <v>MARCOS VICTOR</v>
      </c>
      <c r="H100" t="str">
        <f>IFERROR(VLOOKUP(D100,CPF!A:D,4,0),"NAO ENCONTRADO")</f>
        <v>NAO ENCONTRADO</v>
      </c>
    </row>
    <row r="101" spans="1:8" x14ac:dyDescent="0.3">
      <c r="A101" s="48"/>
      <c r="B101" s="44" t="str">
        <f t="shared" si="10"/>
        <v>WA.ME/55</v>
      </c>
      <c r="C101" s="53" t="s">
        <v>149</v>
      </c>
      <c r="D101" s="50" t="s">
        <v>53</v>
      </c>
      <c r="E101" s="48"/>
      <c r="F101" s="44" t="str">
        <f t="shared" si="11"/>
        <v>WA.ME/55</v>
      </c>
      <c r="G101" s="47" t="str">
        <f t="shared" si="9"/>
        <v>MARCOS VICTOR</v>
      </c>
      <c r="H101" t="str">
        <f>IFERROR(VLOOKUP(D101,CPF!A:D,4,0),"NAO ENCONTRADO")</f>
        <v>NAO ENCONTRADO</v>
      </c>
    </row>
    <row r="102" spans="1:8" x14ac:dyDescent="0.3">
      <c r="A102" s="48"/>
      <c r="B102" s="44" t="str">
        <f t="shared" si="10"/>
        <v>WA.ME/55</v>
      </c>
      <c r="C102" s="53" t="s">
        <v>149</v>
      </c>
      <c r="D102" s="50" t="s">
        <v>91</v>
      </c>
      <c r="E102" s="48"/>
      <c r="F102" s="44" t="str">
        <f t="shared" si="11"/>
        <v>WA.ME/55</v>
      </c>
      <c r="G102" s="47" t="str">
        <f t="shared" si="9"/>
        <v>MARCOS VICTOR</v>
      </c>
      <c r="H102" t="str">
        <f>IFERROR(VLOOKUP(D102,CPF!A:D,4,0),"NAO ENCONTRADO")</f>
        <v>615.171.623-00</v>
      </c>
    </row>
    <row r="103" spans="1:8" x14ac:dyDescent="0.3">
      <c r="A103" s="48"/>
      <c r="B103" s="44" t="str">
        <f t="shared" si="10"/>
        <v>WA.ME/55</v>
      </c>
      <c r="C103" s="53" t="s">
        <v>149</v>
      </c>
      <c r="D103" s="50" t="s">
        <v>58</v>
      </c>
      <c r="E103" s="48"/>
      <c r="F103" s="44" t="str">
        <f t="shared" si="11"/>
        <v>WA.ME/55</v>
      </c>
      <c r="G103" s="47" t="str">
        <f t="shared" si="9"/>
        <v>MARCOS VICTOR</v>
      </c>
      <c r="H103" t="str">
        <f>IFERROR(VLOOKUP(D103,CPF!A:D,4,0),"NAO ENCONTRADO")</f>
        <v>074.418.063-56</v>
      </c>
    </row>
    <row r="104" spans="1:8" x14ac:dyDescent="0.3">
      <c r="A104" s="48"/>
      <c r="B104" s="44" t="str">
        <f t="shared" si="10"/>
        <v>WA.ME/55</v>
      </c>
      <c r="C104" s="53" t="s">
        <v>149</v>
      </c>
      <c r="D104" s="50" t="s">
        <v>59</v>
      </c>
      <c r="E104" s="48"/>
      <c r="F104" s="44" t="str">
        <f t="shared" si="11"/>
        <v>WA.ME/55</v>
      </c>
      <c r="G104" s="47" t="str">
        <f t="shared" si="9"/>
        <v>MARCOS VICTOR</v>
      </c>
      <c r="H104" t="str">
        <f>IFERROR(VLOOKUP(D104,CPF!A:D,4,0),"NAO ENCONTRADO")</f>
        <v>058.715.743-78</v>
      </c>
    </row>
    <row r="105" spans="1:8" x14ac:dyDescent="0.3">
      <c r="A105" s="48"/>
      <c r="B105" s="44" t="str">
        <f t="shared" si="10"/>
        <v>WA.ME/55</v>
      </c>
      <c r="C105" s="53" t="s">
        <v>149</v>
      </c>
      <c r="D105" s="50" t="s">
        <v>62</v>
      </c>
      <c r="E105" s="48"/>
      <c r="F105" s="44" t="str">
        <f t="shared" si="11"/>
        <v>WA.ME/55</v>
      </c>
      <c r="G105" s="47" t="str">
        <f t="shared" si="9"/>
        <v>MARCOS VICTOR</v>
      </c>
      <c r="H105" t="str">
        <f>IFERROR(VLOOKUP(D105,CPF!A:D,4,0),"NAO ENCONTRADO")</f>
        <v>062.256.953-89</v>
      </c>
    </row>
    <row r="106" spans="1:8" x14ac:dyDescent="0.3">
      <c r="A106" s="48"/>
      <c r="B106" s="44" t="str">
        <f t="shared" si="10"/>
        <v>WA.ME/55</v>
      </c>
      <c r="C106" s="53" t="s">
        <v>149</v>
      </c>
      <c r="D106" s="50" t="s">
        <v>67</v>
      </c>
      <c r="E106" s="48"/>
      <c r="F106" s="44" t="str">
        <f t="shared" si="11"/>
        <v>WA.ME/55</v>
      </c>
      <c r="G106" s="47" t="str">
        <f t="shared" si="9"/>
        <v>MARCOS VICTOR</v>
      </c>
      <c r="H106" t="str">
        <f>IFERROR(VLOOKUP(D106,CPF!A:D,4,0),"NAO ENCONTRADO")</f>
        <v>NAO ENCONTRADO</v>
      </c>
    </row>
    <row r="107" spans="1:8" x14ac:dyDescent="0.3">
      <c r="A107" s="48"/>
      <c r="B107" s="44" t="str">
        <f t="shared" si="10"/>
        <v>WA.ME/55</v>
      </c>
      <c r="C107" s="53" t="s">
        <v>149</v>
      </c>
      <c r="D107" s="50" t="s">
        <v>68</v>
      </c>
      <c r="E107" s="48"/>
      <c r="F107" s="44" t="str">
        <f t="shared" si="11"/>
        <v>WA.ME/55</v>
      </c>
      <c r="G107" s="47" t="str">
        <f t="shared" si="9"/>
        <v>MARCOS VICTOR</v>
      </c>
      <c r="H107" t="str">
        <f>IFERROR(VLOOKUP(D107,CPF!A:D,4,0),"NAO ENCONTRADO")</f>
        <v>NAO ENCONTRADO</v>
      </c>
    </row>
    <row r="108" spans="1:8" x14ac:dyDescent="0.3">
      <c r="A108" s="48"/>
      <c r="B108" s="44" t="str">
        <f t="shared" si="10"/>
        <v>WA.ME/55</v>
      </c>
      <c r="C108" s="53" t="s">
        <v>149</v>
      </c>
      <c r="D108" s="50" t="s">
        <v>69</v>
      </c>
      <c r="E108" s="48"/>
      <c r="F108" s="44" t="str">
        <f t="shared" si="11"/>
        <v>WA.ME/55</v>
      </c>
      <c r="G108" s="47" t="str">
        <f t="shared" si="9"/>
        <v>MARCOS VICTOR</v>
      </c>
      <c r="H108" t="str">
        <f>IFERROR(VLOOKUP(D108,CPF!A:D,4,0),"NAO ENCONTRADO")</f>
        <v>014.069.373-47</v>
      </c>
    </row>
    <row r="109" spans="1:8" x14ac:dyDescent="0.3">
      <c r="A109" s="44"/>
      <c r="B109" s="44" t="str">
        <f t="shared" si="10"/>
        <v>WA.ME/55</v>
      </c>
      <c r="C109" s="53" t="s">
        <v>149</v>
      </c>
      <c r="D109" s="50" t="s">
        <v>186</v>
      </c>
      <c r="E109" s="44"/>
      <c r="F109" s="44" t="str">
        <f t="shared" si="11"/>
        <v>WA.ME/55</v>
      </c>
      <c r="G109" s="47" t="str">
        <f t="shared" si="9"/>
        <v>MARCOS VICTOR</v>
      </c>
      <c r="H109" t="str">
        <f>IFERROR(VLOOKUP(D109,CPF!A:D,4,0),"NAO ENCONTRADO")</f>
        <v>619.340.993-92</v>
      </c>
    </row>
    <row r="110" spans="1:8" x14ac:dyDescent="0.3">
      <c r="A110" s="48"/>
      <c r="B110" s="44" t="str">
        <f t="shared" si="10"/>
        <v>WA.ME/55</v>
      </c>
      <c r="C110" s="53" t="s">
        <v>149</v>
      </c>
      <c r="D110" s="50" t="s">
        <v>75</v>
      </c>
      <c r="E110" s="48"/>
      <c r="F110" s="44" t="str">
        <f t="shared" si="11"/>
        <v>WA.ME/55</v>
      </c>
      <c r="G110" s="47" t="str">
        <f t="shared" si="9"/>
        <v>MARCOS VICTOR</v>
      </c>
      <c r="H110" t="str">
        <f>IFERROR(VLOOKUP(D110,CPF!A:D,4,0),"NAO ENCONTRADO")</f>
        <v>NAO ENCONTRADO</v>
      </c>
    </row>
    <row r="111" spans="1:8" x14ac:dyDescent="0.3">
      <c r="A111" s="48"/>
      <c r="B111" s="44" t="str">
        <f t="shared" si="10"/>
        <v>WA.ME/55</v>
      </c>
      <c r="C111" s="53" t="s">
        <v>149</v>
      </c>
      <c r="D111" s="50" t="s">
        <v>76</v>
      </c>
      <c r="E111" s="48"/>
      <c r="F111" s="44" t="str">
        <f t="shared" si="11"/>
        <v>WA.ME/55</v>
      </c>
      <c r="G111" s="47" t="str">
        <f t="shared" si="9"/>
        <v>MARCOS VICTOR</v>
      </c>
      <c r="H111" t="str">
        <f>IFERROR(VLOOKUP(D111,CPF!A:D,4,0),"NAO ENCONTRADO")</f>
        <v>082.974.113-54</v>
      </c>
    </row>
    <row r="112" spans="1:8" x14ac:dyDescent="0.3">
      <c r="A112" s="48"/>
      <c r="B112" s="44" t="str">
        <f t="shared" si="10"/>
        <v>WA.ME/55</v>
      </c>
      <c r="C112" s="51" t="s">
        <v>187</v>
      </c>
      <c r="D112" s="50" t="s">
        <v>56</v>
      </c>
      <c r="E112" s="48"/>
      <c r="F112" s="44" t="str">
        <f t="shared" si="11"/>
        <v>WA.ME/55</v>
      </c>
      <c r="G112" s="47" t="str">
        <f t="shared" si="9"/>
        <v>PALMARES</v>
      </c>
      <c r="H112" t="str">
        <f>IFERROR(VLOOKUP(D112,CPF!A:D,4,0),"NAO ENCONTRADO")</f>
        <v>NAO ENCONTRADO</v>
      </c>
    </row>
    <row r="113" spans="1:8" x14ac:dyDescent="0.3">
      <c r="A113" s="48"/>
      <c r="B113" s="44" t="str">
        <f t="shared" si="10"/>
        <v>WA.ME/55</v>
      </c>
      <c r="C113" s="51" t="s">
        <v>187</v>
      </c>
      <c r="D113" s="50" t="s">
        <v>73</v>
      </c>
      <c r="E113" s="44"/>
      <c r="F113" s="44" t="str">
        <f t="shared" si="11"/>
        <v>WA.ME/55</v>
      </c>
      <c r="G113" s="47" t="str">
        <f t="shared" si="9"/>
        <v>PALMARES</v>
      </c>
      <c r="H113" t="str">
        <f>IFERROR(VLOOKUP(D113,CPF!A:D,4,0),"NAO ENCONTRADO")</f>
        <v>NAO ENCONTRADO</v>
      </c>
    </row>
    <row r="114" spans="1:8" x14ac:dyDescent="0.3">
      <c r="A114" s="48"/>
      <c r="B114" s="44" t="str">
        <f t="shared" si="10"/>
        <v>WA.ME/55</v>
      </c>
      <c r="C114" s="47" t="s">
        <v>148</v>
      </c>
      <c r="D114" s="50" t="s">
        <v>116</v>
      </c>
      <c r="E114" s="48"/>
      <c r="F114" s="44" t="str">
        <f t="shared" si="11"/>
        <v>WA.ME/55</v>
      </c>
      <c r="G114" s="47" t="str">
        <f t="shared" si="9"/>
        <v>WILLIAM DANTAS</v>
      </c>
      <c r="H114" t="str">
        <f>IFERROR(VLOOKUP(D114,CPF!A:D,4,0),"NAO ENCONTRADO")</f>
        <v>068.984.563-42</v>
      </c>
    </row>
    <row r="115" spans="1:8" x14ac:dyDescent="0.3">
      <c r="A115" s="48"/>
      <c r="B115" s="44" t="str">
        <f t="shared" si="10"/>
        <v>WA.ME/55</v>
      </c>
      <c r="C115" s="47" t="s">
        <v>148</v>
      </c>
      <c r="D115" s="50" t="s">
        <v>11</v>
      </c>
      <c r="E115" s="48"/>
      <c r="F115" s="44" t="str">
        <f t="shared" si="11"/>
        <v>WA.ME/55</v>
      </c>
      <c r="G115" s="47" t="str">
        <f t="shared" si="9"/>
        <v>WILLIAM DANTAS</v>
      </c>
      <c r="H115" t="str">
        <f>IFERROR(VLOOKUP(D115,CPF!A:D,4,0),"NAO ENCONTRADO")</f>
        <v>NAO ENCONTRADO</v>
      </c>
    </row>
    <row r="116" spans="1:8" x14ac:dyDescent="0.3">
      <c r="A116" s="48"/>
      <c r="B116" s="44" t="str">
        <f t="shared" si="10"/>
        <v>WA.ME/55</v>
      </c>
      <c r="C116" s="47" t="s">
        <v>148</v>
      </c>
      <c r="D116" s="50" t="s">
        <v>117</v>
      </c>
      <c r="E116" s="48"/>
      <c r="F116" s="44" t="str">
        <f t="shared" si="11"/>
        <v>WA.ME/55</v>
      </c>
      <c r="G116" s="47" t="str">
        <f t="shared" si="9"/>
        <v>WILLIAM DANTAS</v>
      </c>
      <c r="H116" t="str">
        <f>IFERROR(VLOOKUP(D116,CPF!A:D,4,0),"NAO ENCONTRADO")</f>
        <v>880.346.903-68</v>
      </c>
    </row>
    <row r="117" spans="1:8" x14ac:dyDescent="0.3">
      <c r="A117" s="48"/>
      <c r="B117" s="44" t="str">
        <f t="shared" si="10"/>
        <v>WA.ME/55</v>
      </c>
      <c r="C117" s="47" t="s">
        <v>148</v>
      </c>
      <c r="D117" s="50" t="s">
        <v>118</v>
      </c>
      <c r="E117" s="48"/>
      <c r="F117" s="44" t="str">
        <f t="shared" si="11"/>
        <v>WA.ME/55</v>
      </c>
      <c r="G117" s="47" t="str">
        <f t="shared" si="9"/>
        <v>WILLIAM DANTAS</v>
      </c>
      <c r="H117" t="str">
        <f>IFERROR(VLOOKUP(D117,CPF!A:D,4,0),"NAO ENCONTRADO")</f>
        <v>017.467.413-92</v>
      </c>
    </row>
    <row r="118" spans="1:8" x14ac:dyDescent="0.3">
      <c r="A118" s="48"/>
      <c r="B118" s="44" t="str">
        <f t="shared" si="10"/>
        <v>WA.ME/55</v>
      </c>
      <c r="C118" s="47" t="s">
        <v>148</v>
      </c>
      <c r="D118" s="50" t="s">
        <v>21</v>
      </c>
      <c r="E118" s="48"/>
      <c r="F118" s="44" t="str">
        <f t="shared" si="11"/>
        <v>WA.ME/55</v>
      </c>
      <c r="G118" s="47" t="str">
        <f t="shared" si="9"/>
        <v>WILLIAM DANTAS</v>
      </c>
      <c r="H118" t="str">
        <f>IFERROR(VLOOKUP(D118,CPF!A:D,4,0),"NAO ENCONTRADO")</f>
        <v>070.863.133-94</v>
      </c>
    </row>
    <row r="119" spans="1:8" x14ac:dyDescent="0.3">
      <c r="A119" s="48"/>
      <c r="B119" s="44" t="str">
        <f t="shared" si="10"/>
        <v>WA.ME/55</v>
      </c>
      <c r="C119" s="47" t="s">
        <v>148</v>
      </c>
      <c r="D119" s="50" t="s">
        <v>23</v>
      </c>
      <c r="E119" s="48"/>
      <c r="F119" s="44" t="str">
        <f t="shared" si="11"/>
        <v>WA.ME/55</v>
      </c>
      <c r="G119" s="47" t="str">
        <f t="shared" si="9"/>
        <v>WILLIAM DANTAS</v>
      </c>
      <c r="H119" t="str">
        <f>IFERROR(VLOOKUP(D119,CPF!A:D,4,0),"NAO ENCONTRADO")</f>
        <v>026.126.893-70</v>
      </c>
    </row>
    <row r="120" spans="1:8" x14ac:dyDescent="0.3">
      <c r="A120" s="48"/>
      <c r="B120" s="44" t="str">
        <f t="shared" si="10"/>
        <v>WA.ME/55</v>
      </c>
      <c r="C120" s="47" t="s">
        <v>148</v>
      </c>
      <c r="D120" s="50" t="s">
        <v>97</v>
      </c>
      <c r="E120" s="48"/>
      <c r="F120" s="44" t="str">
        <f t="shared" si="11"/>
        <v>WA.ME/55</v>
      </c>
      <c r="G120" s="47" t="str">
        <f t="shared" si="9"/>
        <v>WILLIAM DANTAS</v>
      </c>
      <c r="H120" t="str">
        <f>IFERROR(VLOOKUP(D120,CPF!A:D,4,0),"NAO ENCONTRADO")</f>
        <v>075.965.843-90</v>
      </c>
    </row>
    <row r="121" spans="1:8" x14ac:dyDescent="0.3">
      <c r="A121" s="48"/>
      <c r="B121" s="44" t="str">
        <f t="shared" si="10"/>
        <v>WA.ME/55</v>
      </c>
      <c r="C121" s="47" t="s">
        <v>148</v>
      </c>
      <c r="D121" s="50" t="s">
        <v>120</v>
      </c>
      <c r="E121" s="48"/>
      <c r="F121" s="44" t="str">
        <f t="shared" si="11"/>
        <v>WA.ME/55</v>
      </c>
      <c r="G121" s="47" t="str">
        <f t="shared" si="9"/>
        <v>WILLIAM DANTAS</v>
      </c>
      <c r="H121" t="str">
        <f>IFERROR(VLOOKUP(D121,CPF!A:D,4,0),"NAO ENCONTRADO")</f>
        <v>014.259.203-06</v>
      </c>
    </row>
    <row r="122" spans="1:8" x14ac:dyDescent="0.3">
      <c r="A122" s="48"/>
      <c r="B122" s="44" t="str">
        <f t="shared" si="10"/>
        <v>WA.ME/55</v>
      </c>
      <c r="C122" s="47" t="s">
        <v>148</v>
      </c>
      <c r="D122" s="50" t="s">
        <v>178</v>
      </c>
      <c r="E122" s="48"/>
      <c r="F122" s="44" t="str">
        <f t="shared" si="11"/>
        <v>WA.ME/55</v>
      </c>
      <c r="G122" s="47" t="str">
        <f t="shared" si="9"/>
        <v>WILLIAM DANTAS</v>
      </c>
      <c r="H122" t="str">
        <f>IFERROR(VLOOKUP(D122,CPF!A:D,4,0),"NAO ENCONTRADO")</f>
        <v>076.250.123-52</v>
      </c>
    </row>
    <row r="123" spans="1:8" x14ac:dyDescent="0.3">
      <c r="A123" s="48"/>
      <c r="B123" s="44" t="str">
        <f t="shared" si="10"/>
        <v>WA.ME/55</v>
      </c>
      <c r="C123" s="47" t="s">
        <v>148</v>
      </c>
      <c r="D123" s="50" t="s">
        <v>25</v>
      </c>
      <c r="E123" s="48"/>
      <c r="F123" s="44" t="str">
        <f t="shared" si="11"/>
        <v>WA.ME/55</v>
      </c>
      <c r="G123" s="47" t="str">
        <f t="shared" si="9"/>
        <v>WILLIAM DANTAS</v>
      </c>
      <c r="H123" t="str">
        <f>IFERROR(VLOOKUP(D123,CPF!A:D,4,0),"NAO ENCONTRADO")</f>
        <v>NAO ENCONTRADO</v>
      </c>
    </row>
    <row r="124" spans="1:8" x14ac:dyDescent="0.3">
      <c r="A124" s="48"/>
      <c r="B124" s="44" t="str">
        <f t="shared" si="10"/>
        <v>WA.ME/55</v>
      </c>
      <c r="C124" s="47" t="s">
        <v>148</v>
      </c>
      <c r="D124" s="50" t="s">
        <v>34</v>
      </c>
      <c r="E124" s="48"/>
      <c r="F124" s="44" t="str">
        <f t="shared" si="11"/>
        <v>WA.ME/55</v>
      </c>
      <c r="G124" s="47" t="str">
        <f t="shared" si="9"/>
        <v>WILLIAM DANTAS</v>
      </c>
      <c r="H124" t="str">
        <f>IFERROR(VLOOKUP(D124,CPF!A:D,4,0),"NAO ENCONTRADO")</f>
        <v>058.411.523-78</v>
      </c>
    </row>
    <row r="125" spans="1:8" x14ac:dyDescent="0.3">
      <c r="A125" s="48"/>
      <c r="B125" s="44" t="str">
        <f t="shared" si="10"/>
        <v>WA.ME/55</v>
      </c>
      <c r="C125" s="47" t="s">
        <v>148</v>
      </c>
      <c r="D125" s="50" t="s">
        <v>39</v>
      </c>
      <c r="E125" s="48"/>
      <c r="F125" s="44" t="str">
        <f t="shared" si="11"/>
        <v>WA.ME/55</v>
      </c>
      <c r="G125" s="47" t="str">
        <f t="shared" si="9"/>
        <v>WILLIAM DANTAS</v>
      </c>
      <c r="H125" t="str">
        <f>IFERROR(VLOOKUP(D125,CPF!A:D,4,0),"NAO ENCONTRADO")</f>
        <v>070.629.143-39</v>
      </c>
    </row>
    <row r="126" spans="1:8" x14ac:dyDescent="0.3">
      <c r="A126" s="48"/>
      <c r="B126" s="44" t="str">
        <f t="shared" si="10"/>
        <v>WA.ME/55</v>
      </c>
      <c r="C126" s="47" t="s">
        <v>148</v>
      </c>
      <c r="D126" s="50" t="s">
        <v>48</v>
      </c>
      <c r="E126" s="48"/>
      <c r="F126" s="44" t="str">
        <f t="shared" si="11"/>
        <v>WA.ME/55</v>
      </c>
      <c r="G126" s="47" t="str">
        <f t="shared" si="9"/>
        <v>WILLIAM DANTAS</v>
      </c>
      <c r="H126" t="str">
        <f>IFERROR(VLOOKUP(D126,CPF!A:D,4,0),"NAO ENCONTRADO")</f>
        <v>070.058.973-23</v>
      </c>
    </row>
    <row r="127" spans="1:8" x14ac:dyDescent="0.3">
      <c r="A127" s="48"/>
      <c r="B127" s="44" t="str">
        <f t="shared" si="10"/>
        <v>WA.ME/55</v>
      </c>
      <c r="C127" s="47" t="s">
        <v>148</v>
      </c>
      <c r="D127" s="50" t="s">
        <v>52</v>
      </c>
      <c r="E127" s="48"/>
      <c r="F127" s="44" t="str">
        <f t="shared" si="11"/>
        <v>WA.ME/55</v>
      </c>
      <c r="G127" s="47" t="str">
        <f t="shared" si="9"/>
        <v>WILLIAM DANTAS</v>
      </c>
      <c r="H127" t="str">
        <f>IFERROR(VLOOKUP(D127,CPF!A:D,4,0),"NAO ENCONTRADO")</f>
        <v>NAO ENCONTRADO</v>
      </c>
    </row>
    <row r="128" spans="1:8" x14ac:dyDescent="0.3">
      <c r="A128" s="48"/>
      <c r="B128" s="44" t="str">
        <f t="shared" si="10"/>
        <v>WA.ME/55</v>
      </c>
      <c r="C128" s="47" t="s">
        <v>148</v>
      </c>
      <c r="D128" s="50" t="s">
        <v>127</v>
      </c>
      <c r="E128" s="48"/>
      <c r="F128" s="44" t="str">
        <f t="shared" si="11"/>
        <v>WA.ME/55</v>
      </c>
      <c r="G128" s="47" t="str">
        <f t="shared" si="9"/>
        <v>WILLIAM DANTAS</v>
      </c>
      <c r="H128" t="str">
        <f>IFERROR(VLOOKUP(D128,CPF!A:D,4,0),"NAO ENCONTRADO")</f>
        <v>620.856.313-55</v>
      </c>
    </row>
    <row r="129" spans="1:8" x14ac:dyDescent="0.3">
      <c r="A129" s="48"/>
      <c r="B129" s="44" t="str">
        <f t="shared" si="10"/>
        <v>WA.ME/55</v>
      </c>
      <c r="C129" s="47" t="s">
        <v>148</v>
      </c>
      <c r="D129" s="50" t="s">
        <v>54</v>
      </c>
      <c r="E129" s="48"/>
      <c r="F129" s="44" t="str">
        <f t="shared" si="11"/>
        <v>WA.ME/55</v>
      </c>
      <c r="G129" s="47" t="str">
        <f t="shared" si="9"/>
        <v>WILLIAM DANTAS</v>
      </c>
      <c r="H129" t="str">
        <f>IFERROR(VLOOKUP(D129,CPF!A:D,4,0),"NAO ENCONTRADO")</f>
        <v>071.778.423-14</v>
      </c>
    </row>
    <row r="130" spans="1:8" x14ac:dyDescent="0.3">
      <c r="A130" s="48"/>
      <c r="B130" s="44" t="str">
        <f t="shared" si="10"/>
        <v>WA.ME/55</v>
      </c>
      <c r="C130" s="47" t="s">
        <v>148</v>
      </c>
      <c r="D130" s="50" t="s">
        <v>128</v>
      </c>
      <c r="E130" s="48"/>
      <c r="F130" s="44" t="str">
        <f t="shared" si="11"/>
        <v>WA.ME/55</v>
      </c>
      <c r="G130" s="47" t="str">
        <f t="shared" si="9"/>
        <v>WILLIAM DANTAS</v>
      </c>
      <c r="H130" t="str">
        <f>IFERROR(VLOOKUP(D130,CPF!A:D,4,0),"NAO ENCONTRADO")</f>
        <v>067.905.283-69</v>
      </c>
    </row>
    <row r="131" spans="1:8" x14ac:dyDescent="0.3">
      <c r="A131" s="48"/>
      <c r="B131" s="44" t="str">
        <f t="shared" si="10"/>
        <v>WA.ME/55</v>
      </c>
      <c r="C131" s="47" t="s">
        <v>148</v>
      </c>
      <c r="D131" s="50" t="s">
        <v>61</v>
      </c>
      <c r="E131" s="48"/>
      <c r="F131" s="44" t="str">
        <f t="shared" si="11"/>
        <v>WA.ME/55</v>
      </c>
      <c r="G131" s="47" t="str">
        <f t="shared" ref="G131:G136" si="12">C131</f>
        <v>WILLIAM DANTAS</v>
      </c>
      <c r="H131" t="str">
        <f>IFERROR(VLOOKUP(D131,CPF!A:D,4,0),"NAO ENCONTRADO")</f>
        <v>096.369.633-55</v>
      </c>
    </row>
    <row r="132" spans="1:8" x14ac:dyDescent="0.3">
      <c r="A132" s="44"/>
      <c r="B132" s="44" t="str">
        <f t="shared" ref="B132:B136" si="13">CONCATENATE($A$1,A132)</f>
        <v>WA.ME/55</v>
      </c>
      <c r="C132" s="47" t="s">
        <v>148</v>
      </c>
      <c r="D132" s="50" t="s">
        <v>100</v>
      </c>
      <c r="E132" s="44"/>
      <c r="F132" s="44" t="str">
        <f t="shared" ref="F132:F136" si="14">CONCATENATE($E$1,E132)</f>
        <v>WA.ME/55</v>
      </c>
      <c r="G132" s="47" t="str">
        <f t="shared" si="12"/>
        <v>WILLIAM DANTAS</v>
      </c>
      <c r="H132" t="str">
        <f>IFERROR(VLOOKUP(D132,CPF!A:D,4,0),"NAO ENCONTRADO")</f>
        <v>092.783.123-63</v>
      </c>
    </row>
    <row r="133" spans="1:8" x14ac:dyDescent="0.3">
      <c r="A133" s="48"/>
      <c r="B133" s="44" t="str">
        <f t="shared" si="13"/>
        <v>WA.ME/55</v>
      </c>
      <c r="C133" s="47" t="s">
        <v>148</v>
      </c>
      <c r="D133" s="50" t="s">
        <v>77</v>
      </c>
      <c r="E133" s="48"/>
      <c r="F133" s="44" t="str">
        <f t="shared" si="14"/>
        <v>WA.ME/55</v>
      </c>
      <c r="G133" s="47" t="str">
        <f t="shared" si="12"/>
        <v>WILLIAM DANTAS</v>
      </c>
      <c r="H133" t="str">
        <f>IFERROR(VLOOKUP(D133,CPF!A:D,4,0),"NAO ENCONTRADO")</f>
        <v>048.983.603-86</v>
      </c>
    </row>
    <row r="134" spans="1:8" x14ac:dyDescent="0.3">
      <c r="A134" s="44"/>
      <c r="B134" s="44" t="str">
        <f t="shared" si="13"/>
        <v>WA.ME/55</v>
      </c>
      <c r="C134" s="47" t="s">
        <v>148</v>
      </c>
      <c r="D134" s="50" t="s">
        <v>130</v>
      </c>
      <c r="E134" s="44"/>
      <c r="F134" s="44" t="str">
        <f t="shared" si="14"/>
        <v>WA.ME/55</v>
      </c>
      <c r="G134" s="47" t="str">
        <f t="shared" si="12"/>
        <v>WILLIAM DANTAS</v>
      </c>
      <c r="H134" t="str">
        <f>IFERROR(VLOOKUP(D134,CPF!A:D,4,0),"NAO ENCONTRADO")</f>
        <v>603.334.943-18</v>
      </c>
    </row>
    <row r="135" spans="1:8" x14ac:dyDescent="0.3">
      <c r="A135" s="44"/>
      <c r="B135" s="44" t="str">
        <f t="shared" si="13"/>
        <v>WA.ME/55</v>
      </c>
      <c r="C135" s="47" t="s">
        <v>148</v>
      </c>
      <c r="D135" s="50" t="s">
        <v>93</v>
      </c>
      <c r="E135" s="48"/>
      <c r="F135" s="44" t="str">
        <f t="shared" si="14"/>
        <v>WA.ME/55</v>
      </c>
      <c r="G135" s="47" t="str">
        <f t="shared" si="12"/>
        <v>WILLIAM DANTAS</v>
      </c>
      <c r="H135" t="str">
        <f>IFERROR(VLOOKUP(D135,CPF!A:D,4,0),"NAO ENCONTRADO")</f>
        <v>079.951.163-30</v>
      </c>
    </row>
    <row r="136" spans="1:8" x14ac:dyDescent="0.3">
      <c r="A136" s="48"/>
      <c r="B136" s="44" t="str">
        <f t="shared" si="13"/>
        <v>WA.ME/55</v>
      </c>
      <c r="C136" s="47" t="s">
        <v>148</v>
      </c>
      <c r="D136" s="50" t="s">
        <v>131</v>
      </c>
      <c r="E136" s="48"/>
      <c r="F136" s="44" t="str">
        <f t="shared" si="14"/>
        <v>WA.ME/55</v>
      </c>
      <c r="G136" s="47" t="str">
        <f t="shared" si="12"/>
        <v>WILLIAM DANTAS</v>
      </c>
      <c r="H136" t="str">
        <f>IFERROR(VLOOKUP(D136,CPF!A:D,4,0),"NAO ENCONTRADO")</f>
        <v>NAO ENCONTRADO</v>
      </c>
    </row>
    <row r="137" spans="1:8" x14ac:dyDescent="0.3">
      <c r="A137" s="48"/>
      <c r="B137" s="48"/>
      <c r="C137" s="48"/>
      <c r="D137" s="48"/>
      <c r="E137" s="48"/>
      <c r="F137" s="48"/>
      <c r="G137" s="48"/>
    </row>
    <row r="138" spans="1:8" x14ac:dyDescent="0.3">
      <c r="A138" s="48"/>
      <c r="B138" s="48"/>
      <c r="C138" s="48"/>
      <c r="D138" s="48"/>
      <c r="E138" s="48"/>
      <c r="F138" s="48"/>
      <c r="G138" s="48"/>
    </row>
    <row r="139" spans="1:8" x14ac:dyDescent="0.3">
      <c r="A139" s="48"/>
      <c r="B139" s="48"/>
      <c r="C139" s="48"/>
      <c r="D139" s="48"/>
      <c r="E139" s="48"/>
      <c r="F139" s="48"/>
      <c r="G139" s="48"/>
    </row>
    <row r="140" spans="1:8" x14ac:dyDescent="0.3">
      <c r="A140" s="48"/>
      <c r="B140" s="48"/>
      <c r="C140" s="48"/>
      <c r="D140" s="48"/>
      <c r="E140" s="48"/>
      <c r="F140" s="48"/>
      <c r="G140" s="48"/>
    </row>
    <row r="141" spans="1:8" x14ac:dyDescent="0.3">
      <c r="A141" s="48"/>
      <c r="B141" s="48"/>
      <c r="C141" s="48"/>
      <c r="D141" s="48"/>
      <c r="E141" s="48"/>
      <c r="F141" s="48"/>
      <c r="G141" s="48"/>
    </row>
    <row r="142" spans="1:8" x14ac:dyDescent="0.3">
      <c r="A142" s="48"/>
      <c r="B142" s="48"/>
      <c r="C142" s="48"/>
      <c r="D142" s="48"/>
      <c r="E142" s="48"/>
      <c r="F142" s="48"/>
      <c r="G142" s="48"/>
    </row>
    <row r="143" spans="1:8" x14ac:dyDescent="0.3">
      <c r="A143" s="48"/>
      <c r="B143" s="48"/>
      <c r="C143" s="48"/>
      <c r="D143" s="48"/>
      <c r="E143" s="48"/>
      <c r="F143" s="48"/>
      <c r="G143" s="48"/>
    </row>
    <row r="144" spans="1:8" x14ac:dyDescent="0.3">
      <c r="A144" s="48"/>
      <c r="B144" s="48"/>
      <c r="C144" s="48"/>
      <c r="D144" s="48"/>
      <c r="E144" s="48"/>
      <c r="F144" s="48"/>
      <c r="G144" s="48"/>
    </row>
    <row r="145" spans="1:7" x14ac:dyDescent="0.3">
      <c r="A145" s="48"/>
      <c r="B145" s="48"/>
      <c r="C145" s="48"/>
      <c r="D145" s="48"/>
      <c r="E145" s="48"/>
      <c r="F145" s="48"/>
      <c r="G145" s="48"/>
    </row>
    <row r="146" spans="1:7" x14ac:dyDescent="0.3">
      <c r="A146" s="48"/>
      <c r="B146" s="48"/>
      <c r="C146" s="48"/>
      <c r="D146" s="48"/>
      <c r="E146" s="48"/>
      <c r="F146" s="48"/>
      <c r="G146" s="48"/>
    </row>
    <row r="147" spans="1:7" x14ac:dyDescent="0.3">
      <c r="A147" s="48"/>
      <c r="B147" s="48"/>
      <c r="C147" s="48"/>
      <c r="D147" s="48"/>
      <c r="E147" s="48"/>
      <c r="F147" s="48"/>
      <c r="G147" s="48"/>
    </row>
    <row r="148" spans="1:7" x14ac:dyDescent="0.3">
      <c r="A148" s="48"/>
      <c r="B148" s="48"/>
      <c r="C148" s="48"/>
      <c r="D148" s="48"/>
      <c r="E148" s="48"/>
      <c r="F148" s="48"/>
      <c r="G148" s="48"/>
    </row>
    <row r="149" spans="1:7" x14ac:dyDescent="0.3">
      <c r="A149" s="48"/>
      <c r="B149" s="48"/>
      <c r="C149" s="48"/>
      <c r="D149" s="48"/>
      <c r="E149" s="48"/>
      <c r="F149" s="48"/>
      <c r="G149" s="48"/>
    </row>
    <row r="150" spans="1:7" x14ac:dyDescent="0.3">
      <c r="A150" s="48"/>
      <c r="B150" s="48"/>
      <c r="C150" s="48"/>
      <c r="D150" s="48"/>
      <c r="E150" s="48"/>
      <c r="F150" s="48"/>
      <c r="G150" s="48"/>
    </row>
    <row r="151" spans="1:7" x14ac:dyDescent="0.3">
      <c r="A151" s="48"/>
      <c r="B151" s="48"/>
      <c r="C151" s="48"/>
      <c r="D151" s="48"/>
      <c r="E151" s="48"/>
      <c r="F151" s="48"/>
      <c r="G151" s="48"/>
    </row>
    <row r="152" spans="1:7" x14ac:dyDescent="0.3">
      <c r="A152" s="48"/>
      <c r="B152" s="48"/>
      <c r="C152" s="48"/>
      <c r="D152" s="48"/>
      <c r="E152" s="48"/>
      <c r="F152" s="48"/>
      <c r="G152" s="48"/>
    </row>
    <row r="153" spans="1:7" x14ac:dyDescent="0.3">
      <c r="A153" s="48"/>
      <c r="B153" s="48"/>
      <c r="C153" s="48"/>
      <c r="D153" s="48"/>
      <c r="E153" s="48"/>
      <c r="F153" s="48"/>
      <c r="G153" s="48"/>
    </row>
    <row r="154" spans="1:7" x14ac:dyDescent="0.3">
      <c r="A154" s="48"/>
      <c r="B154" s="48"/>
      <c r="C154" s="48"/>
      <c r="D154" s="48"/>
      <c r="E154" s="48"/>
      <c r="F154" s="48"/>
      <c r="G154" s="48"/>
    </row>
    <row r="155" spans="1:7" x14ac:dyDescent="0.3">
      <c r="A155" s="48"/>
      <c r="B155" s="48"/>
      <c r="C155" s="48"/>
      <c r="D155" s="48"/>
      <c r="E155" s="48"/>
      <c r="F155" s="48"/>
      <c r="G155" s="48"/>
    </row>
    <row r="156" spans="1:7" x14ac:dyDescent="0.3">
      <c r="A156" s="48"/>
      <c r="B156" s="48"/>
      <c r="C156" s="48"/>
      <c r="D156" s="48"/>
      <c r="E156" s="48"/>
      <c r="F156" s="48"/>
      <c r="G156" s="48"/>
    </row>
    <row r="157" spans="1:7" x14ac:dyDescent="0.3">
      <c r="A157" s="48"/>
      <c r="B157" s="48"/>
      <c r="C157" s="48"/>
      <c r="D157" s="48"/>
      <c r="E157" s="48"/>
      <c r="F157" s="48"/>
      <c r="G157" s="48"/>
    </row>
    <row r="158" spans="1:7" x14ac:dyDescent="0.3">
      <c r="A158" s="48"/>
      <c r="B158" s="48"/>
      <c r="C158" s="48"/>
      <c r="D158" s="48"/>
      <c r="E158" s="48"/>
      <c r="F158" s="48"/>
      <c r="G158" s="48"/>
    </row>
    <row r="159" spans="1:7" x14ac:dyDescent="0.3">
      <c r="A159" s="48"/>
      <c r="B159" s="48"/>
      <c r="C159" s="48"/>
      <c r="D159" s="48"/>
      <c r="E159" s="48"/>
      <c r="F159" s="48"/>
      <c r="G159" s="48"/>
    </row>
    <row r="160" spans="1:7" x14ac:dyDescent="0.3">
      <c r="A160" s="48"/>
      <c r="B160" s="48"/>
      <c r="C160" s="48"/>
      <c r="D160" s="48"/>
      <c r="E160" s="48"/>
      <c r="F160" s="48"/>
      <c r="G160" s="48"/>
    </row>
    <row r="161" spans="1:7" x14ac:dyDescent="0.3">
      <c r="A161" s="48"/>
      <c r="B161" s="48"/>
      <c r="C161" s="48"/>
      <c r="D161" s="48"/>
      <c r="E161" s="48"/>
      <c r="F161" s="48"/>
      <c r="G161" s="48"/>
    </row>
    <row r="162" spans="1:7" x14ac:dyDescent="0.3">
      <c r="A162" s="48"/>
      <c r="B162" s="48"/>
      <c r="C162" s="48"/>
      <c r="D162" s="48"/>
      <c r="E162" s="48"/>
      <c r="F162" s="48"/>
      <c r="G162" s="48"/>
    </row>
    <row r="163" spans="1:7" x14ac:dyDescent="0.3">
      <c r="A163" s="48"/>
      <c r="B163" s="48"/>
      <c r="C163" s="48"/>
      <c r="D163" s="48"/>
      <c r="E163" s="48"/>
      <c r="F163" s="48"/>
      <c r="G163" s="48"/>
    </row>
    <row r="164" spans="1:7" x14ac:dyDescent="0.3">
      <c r="A164" s="48"/>
      <c r="B164" s="48"/>
      <c r="C164" s="48"/>
      <c r="D164" s="48"/>
      <c r="E164" s="48"/>
      <c r="F164" s="48"/>
      <c r="G164" s="48"/>
    </row>
    <row r="165" spans="1:7" x14ac:dyDescent="0.3">
      <c r="A165" s="48"/>
      <c r="B165" s="48"/>
      <c r="C165" s="48"/>
      <c r="D165" s="48"/>
      <c r="E165" s="48"/>
      <c r="F165" s="48"/>
      <c r="G165" s="48"/>
    </row>
    <row r="166" spans="1:7" x14ac:dyDescent="0.3">
      <c r="A166" s="48"/>
      <c r="B166" s="48"/>
      <c r="C166" s="48"/>
      <c r="D166" s="48"/>
      <c r="E166" s="48"/>
      <c r="F166" s="48"/>
      <c r="G166" s="48"/>
    </row>
    <row r="167" spans="1:7" x14ac:dyDescent="0.3">
      <c r="A167" s="48"/>
      <c r="B167" s="48"/>
      <c r="C167" s="48"/>
      <c r="D167" s="48"/>
      <c r="E167" s="48"/>
      <c r="F167" s="48"/>
      <c r="G167" s="48"/>
    </row>
    <row r="168" spans="1:7" x14ac:dyDescent="0.3">
      <c r="A168" s="48"/>
      <c r="B168" s="48"/>
      <c r="C168" s="48"/>
      <c r="D168" s="48"/>
      <c r="E168" s="48"/>
      <c r="F168" s="48"/>
      <c r="G168" s="48"/>
    </row>
    <row r="169" spans="1:7" x14ac:dyDescent="0.3">
      <c r="A169" s="48"/>
      <c r="B169" s="48"/>
      <c r="C169" s="48"/>
      <c r="D169" s="48"/>
      <c r="E169" s="48"/>
      <c r="F169" s="48"/>
      <c r="G169" s="48"/>
    </row>
    <row r="170" spans="1:7" x14ac:dyDescent="0.3">
      <c r="A170" s="48"/>
      <c r="B170" s="48"/>
      <c r="C170" s="48"/>
      <c r="D170" s="48"/>
      <c r="E170" s="48"/>
      <c r="F170" s="48"/>
      <c r="G170" s="48"/>
    </row>
    <row r="171" spans="1:7" x14ac:dyDescent="0.3">
      <c r="A171" s="48"/>
      <c r="B171" s="48"/>
      <c r="C171" s="48"/>
      <c r="D171" s="48"/>
      <c r="E171" s="48"/>
      <c r="F171" s="48"/>
      <c r="G171" s="48"/>
    </row>
    <row r="172" spans="1:7" x14ac:dyDescent="0.3">
      <c r="A172" s="48"/>
      <c r="B172" s="48"/>
      <c r="C172" s="48"/>
      <c r="D172" s="48"/>
      <c r="E172" s="48"/>
      <c r="F172" s="48"/>
      <c r="G172" s="48"/>
    </row>
    <row r="173" spans="1:7" x14ac:dyDescent="0.3">
      <c r="A173" s="48"/>
      <c r="B173" s="48"/>
      <c r="C173" s="48"/>
      <c r="D173" s="48"/>
      <c r="E173" s="48"/>
      <c r="F173" s="48"/>
      <c r="G173" s="48"/>
    </row>
    <row r="174" spans="1:7" x14ac:dyDescent="0.3">
      <c r="A174" s="48"/>
      <c r="B174" s="48"/>
      <c r="C174" s="48"/>
      <c r="D174" s="48"/>
      <c r="E174" s="48"/>
      <c r="F174" s="48"/>
      <c r="G174" s="48"/>
    </row>
    <row r="175" spans="1:7" x14ac:dyDescent="0.3">
      <c r="A175" s="48"/>
      <c r="B175" s="48"/>
      <c r="C175" s="48"/>
      <c r="D175" s="48"/>
      <c r="E175" s="48"/>
      <c r="F175" s="48"/>
      <c r="G175" s="48"/>
    </row>
    <row r="176" spans="1:7" x14ac:dyDescent="0.3">
      <c r="A176" s="48"/>
      <c r="B176" s="48"/>
      <c r="C176" s="48"/>
      <c r="D176" s="48"/>
      <c r="E176" s="48"/>
      <c r="F176" s="48"/>
      <c r="G176" s="48"/>
    </row>
    <row r="177" spans="1:7" x14ac:dyDescent="0.3">
      <c r="A177" s="48"/>
      <c r="B177" s="48"/>
      <c r="C177" s="48"/>
      <c r="D177" s="48"/>
      <c r="E177" s="48"/>
      <c r="F177" s="48"/>
      <c r="G177" s="48"/>
    </row>
    <row r="178" spans="1:7" x14ac:dyDescent="0.3">
      <c r="A178" s="48"/>
      <c r="B178" s="48"/>
      <c r="C178" s="48"/>
      <c r="D178" s="48"/>
      <c r="E178" s="48"/>
      <c r="F178" s="48"/>
      <c r="G178" s="48"/>
    </row>
    <row r="179" spans="1:7" x14ac:dyDescent="0.3">
      <c r="A179" s="48"/>
      <c r="B179" s="48"/>
      <c r="C179" s="48"/>
      <c r="D179" s="48"/>
      <c r="E179" s="48"/>
      <c r="F179" s="48"/>
      <c r="G179" s="48"/>
    </row>
    <row r="180" spans="1:7" x14ac:dyDescent="0.3">
      <c r="A180" s="48"/>
      <c r="B180" s="48"/>
      <c r="C180" s="48"/>
      <c r="D180" s="48"/>
      <c r="E180" s="48"/>
      <c r="F180" s="48"/>
      <c r="G180" s="48"/>
    </row>
    <row r="181" spans="1:7" x14ac:dyDescent="0.3">
      <c r="A181" s="48"/>
      <c r="B181" s="48"/>
      <c r="C181" s="48"/>
      <c r="D181" s="48"/>
      <c r="E181" s="48"/>
      <c r="F181" s="48"/>
      <c r="G181" s="48"/>
    </row>
    <row r="182" spans="1:7" x14ac:dyDescent="0.3">
      <c r="A182" s="48"/>
      <c r="B182" s="48"/>
      <c r="C182" s="48"/>
      <c r="D182" s="48"/>
      <c r="E182" s="48"/>
      <c r="F182" s="48"/>
      <c r="G182" s="48"/>
    </row>
    <row r="183" spans="1:7" x14ac:dyDescent="0.3">
      <c r="A183" s="48"/>
      <c r="B183" s="48"/>
      <c r="C183" s="48"/>
      <c r="D183" s="48"/>
      <c r="E183" s="48"/>
      <c r="F183" s="48"/>
      <c r="G183" s="48"/>
    </row>
    <row r="184" spans="1:7" x14ac:dyDescent="0.3">
      <c r="A184" s="48"/>
      <c r="B184" s="48"/>
      <c r="C184" s="48"/>
      <c r="D184" s="48"/>
      <c r="E184" s="48"/>
      <c r="F184" s="48"/>
      <c r="G184" s="48"/>
    </row>
    <row r="185" spans="1:7" x14ac:dyDescent="0.3">
      <c r="A185" s="48"/>
      <c r="B185" s="48"/>
      <c r="C185" s="48"/>
      <c r="D185" s="48"/>
      <c r="E185" s="48"/>
      <c r="F185" s="48"/>
      <c r="G185" s="48"/>
    </row>
    <row r="186" spans="1:7" x14ac:dyDescent="0.3">
      <c r="A186" s="48"/>
      <c r="B186" s="48"/>
      <c r="C186" s="48"/>
      <c r="D186" s="48"/>
      <c r="E186" s="48"/>
      <c r="F186" s="48"/>
      <c r="G186" s="48"/>
    </row>
    <row r="187" spans="1:7" x14ac:dyDescent="0.3">
      <c r="A187" s="48"/>
      <c r="B187" s="48"/>
      <c r="C187" s="48"/>
      <c r="D187" s="48"/>
      <c r="E187" s="48"/>
      <c r="F187" s="48"/>
      <c r="G187" s="48"/>
    </row>
    <row r="188" spans="1:7" x14ac:dyDescent="0.3">
      <c r="A188" s="48"/>
      <c r="B188" s="48"/>
      <c r="C188" s="48"/>
      <c r="D188" s="48"/>
      <c r="E188" s="48"/>
      <c r="F188" s="48"/>
      <c r="G188" s="48"/>
    </row>
    <row r="189" spans="1:7" x14ac:dyDescent="0.3">
      <c r="A189" s="48"/>
      <c r="B189" s="48"/>
      <c r="C189" s="48"/>
      <c r="D189" s="48"/>
      <c r="E189" s="48"/>
      <c r="F189" s="48"/>
      <c r="G189" s="48"/>
    </row>
    <row r="190" spans="1:7" x14ac:dyDescent="0.3">
      <c r="A190" s="48"/>
      <c r="B190" s="48"/>
      <c r="C190" s="48"/>
      <c r="D190" s="48"/>
      <c r="E190" s="48"/>
      <c r="F190" s="48"/>
      <c r="G190" s="48"/>
    </row>
    <row r="191" spans="1:7" x14ac:dyDescent="0.3">
      <c r="A191" s="48"/>
      <c r="B191" s="48"/>
      <c r="C191" s="48"/>
      <c r="D191" s="48"/>
      <c r="E191" s="48"/>
      <c r="F191" s="48"/>
      <c r="G191" s="48"/>
    </row>
    <row r="192" spans="1:7" x14ac:dyDescent="0.3">
      <c r="A192" s="48"/>
      <c r="B192" s="48"/>
      <c r="C192" s="48"/>
      <c r="D192" s="48"/>
      <c r="E192" s="48"/>
      <c r="F192" s="48"/>
      <c r="G192" s="48"/>
    </row>
    <row r="193" spans="1:7" x14ac:dyDescent="0.3">
      <c r="A193" s="48"/>
      <c r="B193" s="48"/>
      <c r="C193" s="48"/>
      <c r="D193" s="48"/>
      <c r="E193" s="48"/>
      <c r="F193" s="48"/>
      <c r="G193" s="48"/>
    </row>
    <row r="194" spans="1:7" x14ac:dyDescent="0.3">
      <c r="A194" s="48"/>
      <c r="B194" s="48"/>
      <c r="C194" s="48"/>
      <c r="D194" s="48"/>
      <c r="E194" s="48"/>
      <c r="F194" s="48"/>
      <c r="G194" s="48"/>
    </row>
    <row r="195" spans="1:7" x14ac:dyDescent="0.3">
      <c r="A195" s="48"/>
      <c r="B195" s="48"/>
      <c r="C195" s="48"/>
      <c r="D195" s="48"/>
      <c r="E195" s="48"/>
      <c r="F195" s="48"/>
      <c r="G195" s="48"/>
    </row>
    <row r="196" spans="1:7" x14ac:dyDescent="0.3">
      <c r="A196" s="48"/>
      <c r="B196" s="48"/>
      <c r="C196" s="48"/>
      <c r="D196" s="48"/>
      <c r="E196" s="48"/>
      <c r="F196" s="48"/>
      <c r="G196" s="48"/>
    </row>
    <row r="197" spans="1:7" x14ac:dyDescent="0.3">
      <c r="A197" s="48"/>
      <c r="B197" s="48"/>
      <c r="C197" s="48"/>
      <c r="D197" s="48"/>
      <c r="E197" s="48"/>
      <c r="F197" s="48"/>
      <c r="G197" s="48"/>
    </row>
    <row r="198" spans="1:7" x14ac:dyDescent="0.3">
      <c r="A198" s="48"/>
      <c r="B198" s="48"/>
      <c r="C198" s="48"/>
      <c r="D198" s="48"/>
      <c r="E198" s="48"/>
      <c r="F198" s="48"/>
      <c r="G198" s="48"/>
    </row>
    <row r="199" spans="1:7" x14ac:dyDescent="0.3">
      <c r="A199" s="48"/>
      <c r="B199" s="48"/>
      <c r="C199" s="48"/>
      <c r="D199" s="48"/>
      <c r="E199" s="48"/>
      <c r="F199" s="48"/>
      <c r="G199" s="48"/>
    </row>
    <row r="200" spans="1:7" x14ac:dyDescent="0.3">
      <c r="A200" s="48"/>
      <c r="B200" s="48"/>
      <c r="C200" s="48"/>
      <c r="D200" s="48"/>
      <c r="E200" s="48"/>
      <c r="F200" s="48"/>
      <c r="G200" s="48"/>
    </row>
    <row r="201" spans="1:7" x14ac:dyDescent="0.3">
      <c r="A201" s="48"/>
      <c r="B201" s="48"/>
      <c r="C201" s="48"/>
      <c r="D201" s="48"/>
      <c r="E201" s="48"/>
      <c r="F201" s="48"/>
      <c r="G201" s="48"/>
    </row>
    <row r="202" spans="1:7" x14ac:dyDescent="0.3">
      <c r="A202" s="48"/>
      <c r="B202" s="48"/>
      <c r="C202" s="48"/>
      <c r="D202" s="48"/>
      <c r="E202" s="48"/>
      <c r="F202" s="48"/>
      <c r="G202" s="48"/>
    </row>
    <row r="203" spans="1:7" x14ac:dyDescent="0.3">
      <c r="A203" s="48"/>
      <c r="B203" s="48"/>
      <c r="C203" s="48"/>
      <c r="D203" s="48"/>
      <c r="E203" s="48"/>
      <c r="F203" s="48"/>
      <c r="G203" s="48"/>
    </row>
    <row r="204" spans="1:7" x14ac:dyDescent="0.3">
      <c r="A204" s="48"/>
      <c r="B204" s="48"/>
      <c r="C204" s="48"/>
      <c r="D204" s="48"/>
      <c r="E204" s="48"/>
      <c r="F204" s="48"/>
      <c r="G204" s="48"/>
    </row>
    <row r="205" spans="1:7" x14ac:dyDescent="0.3">
      <c r="A205" s="48"/>
      <c r="B205" s="48"/>
      <c r="C205" s="48"/>
      <c r="D205" s="48"/>
      <c r="E205" s="48"/>
      <c r="F205" s="48"/>
      <c r="G205" s="48"/>
    </row>
    <row r="206" spans="1:7" x14ac:dyDescent="0.3">
      <c r="A206" s="48"/>
      <c r="B206" s="48"/>
      <c r="C206" s="48"/>
      <c r="D206" s="48"/>
      <c r="E206" s="48"/>
      <c r="F206" s="48"/>
      <c r="G206" s="48"/>
    </row>
    <row r="207" spans="1:7" x14ac:dyDescent="0.3">
      <c r="A207" s="48"/>
      <c r="B207" s="48"/>
      <c r="C207" s="48"/>
      <c r="D207" s="48"/>
      <c r="E207" s="48"/>
      <c r="F207" s="48"/>
      <c r="G207" s="48"/>
    </row>
    <row r="208" spans="1:7" x14ac:dyDescent="0.3">
      <c r="A208" s="48"/>
      <c r="B208" s="48"/>
      <c r="C208" s="48"/>
      <c r="D208" s="48"/>
      <c r="E208" s="48"/>
      <c r="F208" s="48"/>
      <c r="G208" s="48"/>
    </row>
    <row r="209" spans="1:7" x14ac:dyDescent="0.3">
      <c r="A209" s="48"/>
      <c r="B209" s="48"/>
      <c r="C209" s="48"/>
      <c r="D209" s="48"/>
      <c r="E209" s="48"/>
      <c r="F209" s="48"/>
      <c r="G209" s="48"/>
    </row>
    <row r="210" spans="1:7" x14ac:dyDescent="0.3">
      <c r="A210" s="48"/>
      <c r="B210" s="48"/>
      <c r="C210" s="48"/>
      <c r="D210" s="48"/>
      <c r="E210" s="48"/>
      <c r="F210" s="48"/>
      <c r="G210" s="48"/>
    </row>
    <row r="211" spans="1:7" x14ac:dyDescent="0.3">
      <c r="A211" s="48"/>
      <c r="B211" s="48"/>
      <c r="C211" s="48"/>
      <c r="D211" s="48"/>
      <c r="E211" s="48"/>
      <c r="F211" s="48"/>
      <c r="G211" s="48"/>
    </row>
    <row r="212" spans="1:7" x14ac:dyDescent="0.3">
      <c r="A212" s="48"/>
      <c r="B212" s="48"/>
      <c r="C212" s="48"/>
      <c r="D212" s="48"/>
      <c r="E212" s="48"/>
      <c r="F212" s="48"/>
      <c r="G212" s="48"/>
    </row>
    <row r="213" spans="1:7" x14ac:dyDescent="0.3">
      <c r="A213" s="48"/>
      <c r="B213" s="48"/>
      <c r="C213" s="48"/>
      <c r="D213" s="48"/>
      <c r="E213" s="48"/>
      <c r="F213" s="48"/>
      <c r="G213" s="48"/>
    </row>
    <row r="214" spans="1:7" x14ac:dyDescent="0.3">
      <c r="A214" s="48"/>
      <c r="B214" s="48"/>
      <c r="C214" s="48"/>
      <c r="D214" s="48"/>
      <c r="E214" s="48"/>
      <c r="F214" s="48"/>
      <c r="G214" s="48"/>
    </row>
    <row r="215" spans="1:7" x14ac:dyDescent="0.3">
      <c r="A215" s="48"/>
      <c r="B215" s="48"/>
      <c r="C215" s="48"/>
      <c r="D215" s="48"/>
      <c r="E215" s="48"/>
      <c r="F215" s="48"/>
      <c r="G215" s="48"/>
    </row>
    <row r="216" spans="1:7" x14ac:dyDescent="0.3">
      <c r="A216" s="48"/>
      <c r="B216" s="48"/>
      <c r="C216" s="48"/>
      <c r="D216" s="48"/>
      <c r="E216" s="48"/>
      <c r="F216" s="48"/>
      <c r="G216" s="48"/>
    </row>
    <row r="217" spans="1:7" x14ac:dyDescent="0.3">
      <c r="A217" s="48"/>
      <c r="B217" s="48"/>
      <c r="C217" s="48"/>
      <c r="D217" s="48"/>
      <c r="E217" s="48"/>
      <c r="F217" s="48"/>
      <c r="G217" s="48"/>
    </row>
    <row r="218" spans="1:7" x14ac:dyDescent="0.3">
      <c r="A218" s="48"/>
      <c r="B218" s="48"/>
      <c r="C218" s="48"/>
      <c r="D218" s="48"/>
      <c r="E218" s="48"/>
      <c r="F218" s="48"/>
      <c r="G218" s="48"/>
    </row>
    <row r="219" spans="1:7" x14ac:dyDescent="0.3">
      <c r="A219" s="48"/>
      <c r="B219" s="48"/>
      <c r="C219" s="48"/>
      <c r="D219" s="48"/>
      <c r="E219" s="48"/>
      <c r="F219" s="48"/>
      <c r="G219" s="48"/>
    </row>
    <row r="220" spans="1:7" x14ac:dyDescent="0.3">
      <c r="A220" s="48"/>
      <c r="B220" s="48"/>
      <c r="C220" s="48"/>
      <c r="D220" s="48"/>
      <c r="E220" s="48"/>
      <c r="F220" s="48"/>
      <c r="G220" s="48"/>
    </row>
    <row r="221" spans="1:7" x14ac:dyDescent="0.3">
      <c r="A221" s="48"/>
      <c r="B221" s="48"/>
      <c r="C221" s="48"/>
      <c r="D221" s="48"/>
      <c r="E221" s="48"/>
      <c r="F221" s="48"/>
      <c r="G221" s="48"/>
    </row>
    <row r="222" spans="1:7" x14ac:dyDescent="0.3">
      <c r="A222" s="48"/>
      <c r="B222" s="48"/>
      <c r="C222" s="48"/>
      <c r="D222" s="48"/>
      <c r="E222" s="48"/>
      <c r="F222" s="48"/>
      <c r="G222" s="48"/>
    </row>
    <row r="223" spans="1:7" x14ac:dyDescent="0.3">
      <c r="A223" s="48"/>
      <c r="B223" s="48"/>
      <c r="C223" s="48"/>
      <c r="D223" s="48"/>
      <c r="E223" s="48"/>
      <c r="F223" s="48"/>
      <c r="G223" s="48"/>
    </row>
    <row r="224" spans="1:7" x14ac:dyDescent="0.3">
      <c r="A224" s="48"/>
      <c r="B224" s="48"/>
      <c r="C224" s="48"/>
      <c r="D224" s="48"/>
      <c r="E224" s="48"/>
      <c r="F224" s="48"/>
      <c r="G224" s="48"/>
    </row>
    <row r="225" spans="1:7" x14ac:dyDescent="0.3">
      <c r="A225" s="48"/>
      <c r="B225" s="48"/>
      <c r="C225" s="48"/>
      <c r="D225" s="48"/>
      <c r="E225" s="48"/>
      <c r="F225" s="48"/>
      <c r="G225" s="48"/>
    </row>
    <row r="226" spans="1:7" x14ac:dyDescent="0.3">
      <c r="A226" s="48"/>
      <c r="B226" s="48"/>
      <c r="C226" s="48"/>
      <c r="D226" s="48"/>
      <c r="E226" s="48"/>
      <c r="F226" s="48"/>
      <c r="G226" s="48"/>
    </row>
    <row r="227" spans="1:7" x14ac:dyDescent="0.3">
      <c r="A227" s="48"/>
      <c r="B227" s="48"/>
      <c r="C227" s="48"/>
      <c r="D227" s="48"/>
      <c r="E227" s="48"/>
      <c r="F227" s="48"/>
      <c r="G227" s="48"/>
    </row>
    <row r="228" spans="1:7" x14ac:dyDescent="0.3">
      <c r="A228" s="48"/>
      <c r="B228" s="48"/>
      <c r="C228" s="48"/>
      <c r="D228" s="48"/>
      <c r="E228" s="48"/>
      <c r="F228" s="48"/>
      <c r="G228" s="48"/>
    </row>
    <row r="229" spans="1:7" x14ac:dyDescent="0.3">
      <c r="A229" s="48"/>
      <c r="B229" s="48"/>
      <c r="C229" s="48"/>
      <c r="D229" s="48"/>
      <c r="E229" s="48"/>
      <c r="F229" s="48"/>
      <c r="G229" s="48"/>
    </row>
    <row r="230" spans="1:7" x14ac:dyDescent="0.3">
      <c r="A230" s="48"/>
      <c r="B230" s="48"/>
      <c r="C230" s="48"/>
      <c r="D230" s="48"/>
      <c r="E230" s="48"/>
      <c r="F230" s="48"/>
      <c r="G230" s="48"/>
    </row>
    <row r="231" spans="1:7" x14ac:dyDescent="0.3">
      <c r="A231" s="48"/>
      <c r="B231" s="48"/>
      <c r="C231" s="48"/>
      <c r="D231" s="48"/>
      <c r="E231" s="48"/>
      <c r="F231" s="48"/>
      <c r="G231" s="48"/>
    </row>
    <row r="232" spans="1:7" x14ac:dyDescent="0.3">
      <c r="A232" s="48"/>
      <c r="B232" s="48"/>
      <c r="C232" s="48"/>
      <c r="D232" s="48"/>
      <c r="E232" s="48"/>
      <c r="F232" s="48"/>
      <c r="G232" s="48"/>
    </row>
    <row r="233" spans="1:7" x14ac:dyDescent="0.3">
      <c r="A233" s="48"/>
      <c r="B233" s="48"/>
      <c r="C233" s="48"/>
      <c r="D233" s="48"/>
      <c r="E233" s="48"/>
      <c r="F233" s="48"/>
      <c r="G233" s="48"/>
    </row>
    <row r="234" spans="1:7" x14ac:dyDescent="0.3">
      <c r="A234" s="48"/>
      <c r="B234" s="48"/>
      <c r="C234" s="48"/>
      <c r="D234" s="48"/>
      <c r="E234" s="48"/>
      <c r="F234" s="48"/>
      <c r="G234" s="48"/>
    </row>
    <row r="235" spans="1:7" x14ac:dyDescent="0.3">
      <c r="A235" s="48"/>
      <c r="B235" s="48"/>
      <c r="C235" s="48"/>
      <c r="D235" s="48"/>
      <c r="E235" s="48"/>
      <c r="F235" s="48"/>
      <c r="G235" s="48"/>
    </row>
    <row r="236" spans="1:7" x14ac:dyDescent="0.3">
      <c r="A236" s="48"/>
      <c r="B236" s="48"/>
      <c r="C236" s="48"/>
      <c r="D236" s="48"/>
      <c r="E236" s="48"/>
      <c r="F236" s="48"/>
      <c r="G236" s="48"/>
    </row>
    <row r="237" spans="1:7" x14ac:dyDescent="0.3">
      <c r="A237" s="48"/>
      <c r="B237" s="48"/>
      <c r="C237" s="48"/>
      <c r="D237" s="48"/>
      <c r="E237" s="48"/>
      <c r="F237" s="48"/>
      <c r="G237" s="48"/>
    </row>
    <row r="238" spans="1:7" x14ac:dyDescent="0.3">
      <c r="A238" s="48"/>
      <c r="B238" s="48"/>
      <c r="C238" s="48"/>
      <c r="D238" s="48"/>
      <c r="E238" s="48"/>
      <c r="F238" s="48"/>
      <c r="G238" s="48"/>
    </row>
    <row r="239" spans="1:7" x14ac:dyDescent="0.3">
      <c r="A239" s="48"/>
      <c r="B239" s="48"/>
      <c r="C239" s="48"/>
      <c r="D239" s="48"/>
      <c r="E239" s="48"/>
      <c r="F239" s="48"/>
      <c r="G239" s="48"/>
    </row>
    <row r="240" spans="1:7" x14ac:dyDescent="0.3">
      <c r="A240" s="48"/>
      <c r="B240" s="48"/>
      <c r="C240" s="48"/>
      <c r="D240" s="48"/>
      <c r="E240" s="48"/>
      <c r="F240" s="48"/>
      <c r="G240" s="48"/>
    </row>
    <row r="241" spans="1:7" x14ac:dyDescent="0.3">
      <c r="A241" s="48"/>
      <c r="B241" s="48"/>
      <c r="C241" s="48"/>
      <c r="D241" s="48"/>
      <c r="E241" s="48"/>
      <c r="F241" s="48"/>
      <c r="G241" s="48"/>
    </row>
    <row r="242" spans="1:7" x14ac:dyDescent="0.3">
      <c r="A242" s="48"/>
      <c r="B242" s="48"/>
      <c r="C242" s="48"/>
      <c r="D242" s="48"/>
      <c r="E242" s="48"/>
      <c r="F242" s="48"/>
      <c r="G242" s="48"/>
    </row>
    <row r="243" spans="1:7" x14ac:dyDescent="0.3">
      <c r="A243" s="48"/>
      <c r="B243" s="48"/>
      <c r="C243" s="48"/>
      <c r="D243" s="48"/>
      <c r="E243" s="48"/>
      <c r="F243" s="48"/>
      <c r="G243" s="48"/>
    </row>
    <row r="244" spans="1:7" x14ac:dyDescent="0.3">
      <c r="A244" s="48"/>
      <c r="B244" s="48"/>
      <c r="C244" s="48"/>
      <c r="D244" s="48"/>
      <c r="E244" s="48"/>
      <c r="F244" s="48"/>
      <c r="G244" s="48"/>
    </row>
    <row r="245" spans="1:7" x14ac:dyDescent="0.3">
      <c r="A245" s="48"/>
      <c r="B245" s="48"/>
      <c r="C245" s="48"/>
      <c r="D245" s="48"/>
      <c r="E245" s="48"/>
      <c r="F245" s="48"/>
      <c r="G245" s="48"/>
    </row>
    <row r="246" spans="1:7" x14ac:dyDescent="0.3">
      <c r="A246" s="48"/>
      <c r="B246" s="48"/>
      <c r="C246" s="48"/>
      <c r="D246" s="48"/>
      <c r="E246" s="48"/>
      <c r="F246" s="48"/>
      <c r="G246" s="48"/>
    </row>
    <row r="247" spans="1:7" x14ac:dyDescent="0.3">
      <c r="A247" s="48"/>
      <c r="B247" s="48"/>
      <c r="C247" s="48"/>
      <c r="D247" s="48"/>
      <c r="E247" s="48"/>
      <c r="F247" s="48"/>
      <c r="G247" s="48"/>
    </row>
    <row r="248" spans="1:7" x14ac:dyDescent="0.3">
      <c r="A248" s="48"/>
      <c r="B248" s="48"/>
      <c r="C248" s="48"/>
      <c r="D248" s="48"/>
      <c r="E248" s="48"/>
      <c r="F248" s="48"/>
      <c r="G248" s="48"/>
    </row>
    <row r="249" spans="1:7" x14ac:dyDescent="0.3">
      <c r="A249" s="48"/>
      <c r="B249" s="48"/>
      <c r="C249" s="48"/>
      <c r="D249" s="48"/>
      <c r="E249" s="48"/>
      <c r="F249" s="48"/>
      <c r="G249" s="48"/>
    </row>
    <row r="250" spans="1:7" x14ac:dyDescent="0.3">
      <c r="A250" s="48"/>
      <c r="B250" s="48"/>
      <c r="C250" s="48"/>
      <c r="D250" s="48"/>
      <c r="E250" s="48"/>
      <c r="F250" s="48"/>
      <c r="G250" s="48"/>
    </row>
    <row r="251" spans="1:7" x14ac:dyDescent="0.3">
      <c r="A251" s="48"/>
      <c r="B251" s="48"/>
      <c r="C251" s="48"/>
      <c r="D251" s="48"/>
      <c r="E251" s="48"/>
      <c r="F251" s="48"/>
      <c r="G251" s="48"/>
    </row>
    <row r="252" spans="1:7" x14ac:dyDescent="0.3">
      <c r="A252" s="48"/>
      <c r="B252" s="48"/>
      <c r="C252" s="48"/>
      <c r="D252" s="48"/>
      <c r="E252" s="48"/>
      <c r="F252" s="48"/>
      <c r="G252" s="48"/>
    </row>
    <row r="253" spans="1:7" x14ac:dyDescent="0.3">
      <c r="A253" s="48"/>
      <c r="B253" s="48"/>
      <c r="C253" s="48"/>
      <c r="D253" s="48"/>
      <c r="E253" s="48"/>
      <c r="F253" s="48"/>
      <c r="G253" s="48"/>
    </row>
    <row r="254" spans="1:7" x14ac:dyDescent="0.3">
      <c r="A254" s="48"/>
      <c r="B254" s="48"/>
      <c r="C254" s="48"/>
      <c r="D254" s="48"/>
      <c r="E254" s="48"/>
      <c r="F254" s="48"/>
      <c r="G254" s="48"/>
    </row>
    <row r="255" spans="1:7" x14ac:dyDescent="0.3">
      <c r="A255" s="48"/>
      <c r="B255" s="48"/>
      <c r="C255" s="48"/>
      <c r="D255" s="48"/>
      <c r="E255" s="48"/>
      <c r="F255" s="48"/>
      <c r="G255" s="48"/>
    </row>
    <row r="256" spans="1:7" x14ac:dyDescent="0.3">
      <c r="A256" s="48"/>
      <c r="B256" s="48"/>
      <c r="C256" s="48"/>
      <c r="D256" s="48"/>
      <c r="E256" s="48"/>
      <c r="F256" s="48"/>
      <c r="G256" s="48"/>
    </row>
    <row r="257" spans="1:7" x14ac:dyDescent="0.3">
      <c r="A257" s="48"/>
      <c r="B257" s="48"/>
      <c r="C257" s="48"/>
      <c r="D257" s="48"/>
      <c r="E257" s="48"/>
      <c r="F257" s="48"/>
      <c r="G257" s="48"/>
    </row>
    <row r="258" spans="1:7" x14ac:dyDescent="0.3">
      <c r="A258" s="48"/>
      <c r="B258" s="48"/>
      <c r="C258" s="48"/>
      <c r="D258" s="48"/>
      <c r="E258" s="48"/>
      <c r="F258" s="48"/>
      <c r="G258" s="48"/>
    </row>
    <row r="259" spans="1:7" x14ac:dyDescent="0.3">
      <c r="A259" s="48"/>
      <c r="B259" s="48"/>
      <c r="C259" s="48"/>
      <c r="D259" s="48"/>
      <c r="E259" s="48"/>
      <c r="F259" s="48"/>
      <c r="G259" s="48"/>
    </row>
    <row r="260" spans="1:7" x14ac:dyDescent="0.3">
      <c r="A260" s="48"/>
      <c r="B260" s="48"/>
      <c r="C260" s="48"/>
      <c r="D260" s="48"/>
      <c r="E260" s="48"/>
      <c r="F260" s="48"/>
      <c r="G260" s="48"/>
    </row>
    <row r="261" spans="1:7" x14ac:dyDescent="0.3">
      <c r="A261" s="48"/>
      <c r="B261" s="48"/>
      <c r="C261" s="48"/>
      <c r="D261" s="48"/>
      <c r="E261" s="48"/>
      <c r="F261" s="48"/>
      <c r="G261" s="48"/>
    </row>
    <row r="262" spans="1:7" x14ac:dyDescent="0.3">
      <c r="A262" s="48"/>
      <c r="B262" s="48"/>
      <c r="C262" s="48"/>
      <c r="D262" s="48"/>
      <c r="E262" s="48"/>
      <c r="F262" s="48"/>
      <c r="G262" s="48"/>
    </row>
    <row r="263" spans="1:7" x14ac:dyDescent="0.3">
      <c r="A263" s="48"/>
      <c r="B263" s="48"/>
      <c r="C263" s="48"/>
      <c r="D263" s="48"/>
      <c r="E263" s="48"/>
      <c r="F263" s="48"/>
      <c r="G263" s="48"/>
    </row>
    <row r="264" spans="1:7" x14ac:dyDescent="0.3">
      <c r="A264" s="48"/>
      <c r="B264" s="48"/>
      <c r="C264" s="48"/>
      <c r="D264" s="48"/>
      <c r="E264" s="48"/>
      <c r="F264" s="48"/>
      <c r="G264" s="48"/>
    </row>
    <row r="265" spans="1:7" x14ac:dyDescent="0.3">
      <c r="A265" s="48"/>
      <c r="B265" s="48"/>
      <c r="C265" s="48"/>
      <c r="D265" s="48"/>
      <c r="E265" s="48"/>
      <c r="F265" s="48"/>
      <c r="G265" s="48"/>
    </row>
    <row r="266" spans="1:7" x14ac:dyDescent="0.3">
      <c r="A266" s="48"/>
      <c r="B266" s="48"/>
      <c r="C266" s="48"/>
      <c r="D266" s="48"/>
      <c r="E266" s="48"/>
      <c r="F266" s="48"/>
      <c r="G266" s="48"/>
    </row>
    <row r="267" spans="1:7" x14ac:dyDescent="0.3">
      <c r="A267" s="48"/>
      <c r="B267" s="48"/>
      <c r="C267" s="48"/>
      <c r="D267" s="48"/>
      <c r="E267" s="48"/>
      <c r="F267" s="48"/>
      <c r="G267" s="48"/>
    </row>
    <row r="268" spans="1:7" x14ac:dyDescent="0.3">
      <c r="A268" s="48"/>
      <c r="B268" s="48"/>
      <c r="C268" s="48"/>
      <c r="D268" s="48"/>
      <c r="E268" s="48"/>
      <c r="F268" s="48"/>
      <c r="G268" s="48"/>
    </row>
    <row r="269" spans="1:7" x14ac:dyDescent="0.3">
      <c r="A269" s="48"/>
      <c r="B269" s="48"/>
      <c r="C269" s="48"/>
      <c r="D269" s="48"/>
      <c r="E269" s="48"/>
      <c r="F269" s="48"/>
      <c r="G269" s="48"/>
    </row>
    <row r="270" spans="1:7" x14ac:dyDescent="0.3">
      <c r="A270" s="48"/>
      <c r="B270" s="48"/>
      <c r="C270" s="48"/>
      <c r="D270" s="48"/>
      <c r="E270" s="48"/>
      <c r="F270" s="48"/>
      <c r="G270" s="48"/>
    </row>
    <row r="271" spans="1:7" x14ac:dyDescent="0.3">
      <c r="A271" s="48"/>
      <c r="B271" s="48"/>
      <c r="C271" s="48"/>
      <c r="D271" s="48"/>
      <c r="E271" s="48"/>
      <c r="F271" s="48"/>
      <c r="G271" s="48"/>
    </row>
    <row r="272" spans="1:7" x14ac:dyDescent="0.3">
      <c r="A272" s="48"/>
      <c r="B272" s="48"/>
      <c r="C272" s="48"/>
      <c r="D272" s="48"/>
      <c r="E272" s="48"/>
      <c r="F272" s="48"/>
      <c r="G272" s="48"/>
    </row>
    <row r="273" spans="1:7" x14ac:dyDescent="0.3">
      <c r="A273" s="48"/>
      <c r="B273" s="48"/>
      <c r="C273" s="48"/>
      <c r="D273" s="48"/>
      <c r="E273" s="48"/>
      <c r="F273" s="48"/>
      <c r="G273" s="48"/>
    </row>
    <row r="274" spans="1:7" x14ac:dyDescent="0.3">
      <c r="A274" s="48"/>
      <c r="B274" s="48"/>
      <c r="C274" s="48"/>
      <c r="D274" s="48"/>
      <c r="E274" s="48"/>
      <c r="F274" s="48"/>
      <c r="G274" s="48"/>
    </row>
    <row r="275" spans="1:7" x14ac:dyDescent="0.3">
      <c r="A275" s="48"/>
      <c r="B275" s="48"/>
      <c r="C275" s="48"/>
      <c r="D275" s="48"/>
      <c r="E275" s="48"/>
      <c r="F275" s="48"/>
      <c r="G275" s="48"/>
    </row>
    <row r="276" spans="1:7" x14ac:dyDescent="0.3">
      <c r="A276" s="48"/>
      <c r="B276" s="48"/>
      <c r="C276" s="48"/>
      <c r="D276" s="48"/>
      <c r="E276" s="48"/>
      <c r="F276" s="48"/>
      <c r="G276" s="48"/>
    </row>
    <row r="277" spans="1:7" x14ac:dyDescent="0.3">
      <c r="A277" s="48"/>
      <c r="B277" s="48"/>
      <c r="C277" s="48"/>
      <c r="D277" s="48"/>
      <c r="E277" s="48"/>
      <c r="F277" s="48"/>
      <c r="G277" s="48"/>
    </row>
    <row r="278" spans="1:7" x14ac:dyDescent="0.3">
      <c r="A278" s="48"/>
      <c r="B278" s="48"/>
      <c r="C278" s="48"/>
      <c r="D278" s="48"/>
      <c r="E278" s="48"/>
      <c r="F278" s="48"/>
      <c r="G278" s="48"/>
    </row>
    <row r="279" spans="1:7" x14ac:dyDescent="0.3">
      <c r="A279" s="48"/>
      <c r="B279" s="48"/>
      <c r="C279" s="48"/>
      <c r="D279" s="48"/>
      <c r="E279" s="48"/>
      <c r="F279" s="48"/>
      <c r="G279" s="48"/>
    </row>
    <row r="280" spans="1:7" x14ac:dyDescent="0.3">
      <c r="A280" s="48"/>
      <c r="B280" s="48"/>
      <c r="C280" s="48"/>
      <c r="D280" s="48"/>
      <c r="E280" s="48"/>
      <c r="F280" s="48"/>
      <c r="G280" s="48"/>
    </row>
    <row r="281" spans="1:7" x14ac:dyDescent="0.3">
      <c r="A281" s="48"/>
      <c r="B281" s="48"/>
      <c r="C281" s="48"/>
      <c r="D281" s="48"/>
      <c r="E281" s="48"/>
      <c r="F281" s="48"/>
      <c r="G281" s="48"/>
    </row>
    <row r="282" spans="1:7" x14ac:dyDescent="0.3">
      <c r="A282" s="48"/>
      <c r="B282" s="48"/>
      <c r="C282" s="48"/>
      <c r="D282" s="48"/>
      <c r="E282" s="48"/>
      <c r="F282" s="48"/>
      <c r="G282" s="48"/>
    </row>
    <row r="283" spans="1:7" x14ac:dyDescent="0.3">
      <c r="A283" s="48"/>
      <c r="B283" s="48"/>
      <c r="C283" s="48"/>
      <c r="D283" s="48"/>
      <c r="E283" s="48"/>
      <c r="F283" s="48"/>
      <c r="G283" s="48"/>
    </row>
    <row r="284" spans="1:7" x14ac:dyDescent="0.3">
      <c r="A284" s="48"/>
      <c r="B284" s="48"/>
      <c r="C284" s="48"/>
      <c r="D284" s="48"/>
      <c r="E284" s="48"/>
      <c r="F284" s="48"/>
      <c r="G284" s="48"/>
    </row>
    <row r="285" spans="1:7" x14ac:dyDescent="0.3">
      <c r="A285" s="48"/>
      <c r="B285" s="48"/>
      <c r="C285" s="48"/>
      <c r="D285" s="48"/>
      <c r="E285" s="48"/>
      <c r="F285" s="48"/>
      <c r="G285" s="48"/>
    </row>
    <row r="286" spans="1:7" x14ac:dyDescent="0.3">
      <c r="A286" s="48"/>
      <c r="B286" s="48"/>
      <c r="C286" s="48"/>
      <c r="D286" s="48"/>
      <c r="E286" s="48"/>
      <c r="F286" s="48"/>
      <c r="G286" s="48"/>
    </row>
    <row r="287" spans="1:7" x14ac:dyDescent="0.3">
      <c r="A287" s="48"/>
      <c r="B287" s="48"/>
      <c r="C287" s="48"/>
      <c r="D287" s="48"/>
      <c r="E287" s="48"/>
      <c r="F287" s="48"/>
      <c r="G287" s="48"/>
    </row>
    <row r="288" spans="1:7" x14ac:dyDescent="0.3">
      <c r="A288" s="48"/>
      <c r="B288" s="48"/>
      <c r="C288" s="48"/>
      <c r="D288" s="48"/>
      <c r="E288" s="48"/>
      <c r="F288" s="48"/>
      <c r="G288" s="48"/>
    </row>
    <row r="289" spans="1:7" x14ac:dyDescent="0.3">
      <c r="A289" s="48"/>
      <c r="B289" s="48"/>
      <c r="C289" s="48"/>
      <c r="D289" s="48"/>
      <c r="E289" s="48"/>
      <c r="F289" s="48"/>
      <c r="G289" s="48"/>
    </row>
    <row r="290" spans="1:7" x14ac:dyDescent="0.3">
      <c r="A290" s="48"/>
      <c r="B290" s="48"/>
      <c r="C290" s="48"/>
      <c r="D290" s="48"/>
      <c r="E290" s="48"/>
      <c r="F290" s="48"/>
      <c r="G290" s="48"/>
    </row>
    <row r="291" spans="1:7" x14ac:dyDescent="0.3">
      <c r="A291" s="48"/>
      <c r="B291" s="48"/>
      <c r="C291" s="48"/>
      <c r="D291" s="48"/>
      <c r="E291" s="48"/>
      <c r="F291" s="48"/>
      <c r="G291" s="48"/>
    </row>
    <row r="292" spans="1:7" x14ac:dyDescent="0.3">
      <c r="A292" s="48"/>
      <c r="B292" s="48"/>
      <c r="C292" s="48"/>
      <c r="D292" s="48"/>
      <c r="E292" s="48"/>
      <c r="F292" s="48"/>
      <c r="G292" s="48"/>
    </row>
    <row r="293" spans="1:7" x14ac:dyDescent="0.3">
      <c r="A293" s="48"/>
      <c r="B293" s="48"/>
      <c r="C293" s="48"/>
      <c r="D293" s="48"/>
      <c r="E293" s="48"/>
      <c r="F293" s="48"/>
      <c r="G293" s="48"/>
    </row>
    <row r="294" spans="1:7" x14ac:dyDescent="0.3">
      <c r="A294" s="48"/>
      <c r="B294" s="48"/>
      <c r="C294" s="48"/>
      <c r="D294" s="48"/>
      <c r="E294" s="48"/>
      <c r="F294" s="48"/>
      <c r="G294" s="48"/>
    </row>
    <row r="295" spans="1:7" x14ac:dyDescent="0.3">
      <c r="A295" s="48"/>
      <c r="B295" s="48"/>
      <c r="C295" s="48"/>
      <c r="D295" s="48"/>
      <c r="E295" s="48"/>
      <c r="F295" s="48"/>
      <c r="G295" s="48"/>
    </row>
    <row r="296" spans="1:7" x14ac:dyDescent="0.3">
      <c r="A296" s="48"/>
      <c r="B296" s="48"/>
      <c r="C296" s="48"/>
      <c r="D296" s="48"/>
      <c r="E296" s="48"/>
      <c r="F296" s="48"/>
      <c r="G296" s="48"/>
    </row>
    <row r="297" spans="1:7" x14ac:dyDescent="0.3">
      <c r="A297" s="48"/>
      <c r="B297" s="48"/>
      <c r="C297" s="48"/>
      <c r="D297" s="48"/>
      <c r="E297" s="48"/>
      <c r="F297" s="48"/>
      <c r="G297" s="48"/>
    </row>
    <row r="298" spans="1:7" x14ac:dyDescent="0.3">
      <c r="A298" s="48"/>
      <c r="B298" s="48"/>
      <c r="C298" s="48"/>
      <c r="D298" s="48"/>
      <c r="E298" s="48"/>
      <c r="F298" s="48"/>
      <c r="G298" s="48"/>
    </row>
    <row r="299" spans="1:7" x14ac:dyDescent="0.3">
      <c r="A299" s="48"/>
      <c r="B299" s="48"/>
      <c r="C299" s="48"/>
      <c r="D299" s="48"/>
      <c r="E299" s="48"/>
      <c r="F299" s="48"/>
      <c r="G299" s="48"/>
    </row>
    <row r="300" spans="1:7" x14ac:dyDescent="0.3">
      <c r="A300" s="48"/>
      <c r="B300" s="48"/>
      <c r="C300" s="48"/>
      <c r="D300" s="48"/>
      <c r="E300" s="48"/>
      <c r="F300" s="48"/>
      <c r="G300" s="48"/>
    </row>
    <row r="301" spans="1:7" x14ac:dyDescent="0.3">
      <c r="A301" s="48"/>
      <c r="B301" s="48"/>
      <c r="C301" s="48"/>
      <c r="D301" s="48"/>
      <c r="E301" s="48"/>
      <c r="F301" s="48"/>
      <c r="G301" s="48"/>
    </row>
    <row r="302" spans="1:7" x14ac:dyDescent="0.3">
      <c r="A302" s="48"/>
      <c r="B302" s="48"/>
      <c r="C302" s="48"/>
      <c r="D302" s="48"/>
      <c r="E302" s="48"/>
      <c r="F302" s="48"/>
      <c r="G302" s="48"/>
    </row>
    <row r="303" spans="1:7" x14ac:dyDescent="0.3">
      <c r="A303" s="48"/>
      <c r="B303" s="48"/>
      <c r="C303" s="48"/>
      <c r="D303" s="48"/>
      <c r="E303" s="48"/>
      <c r="F303" s="48"/>
      <c r="G303" s="48"/>
    </row>
    <row r="304" spans="1:7" x14ac:dyDescent="0.3">
      <c r="A304" s="48"/>
      <c r="B304" s="48"/>
      <c r="C304" s="48"/>
      <c r="D304" s="48"/>
      <c r="E304" s="48"/>
      <c r="F304" s="48"/>
      <c r="G304" s="48"/>
    </row>
    <row r="305" spans="1:7" x14ac:dyDescent="0.3">
      <c r="A305" s="48"/>
      <c r="B305" s="48"/>
      <c r="C305" s="48"/>
      <c r="D305" s="48"/>
      <c r="E305" s="48"/>
      <c r="F305" s="48"/>
      <c r="G305" s="48"/>
    </row>
    <row r="306" spans="1:7" x14ac:dyDescent="0.3">
      <c r="A306" s="48"/>
      <c r="B306" s="48"/>
      <c r="C306" s="48"/>
      <c r="D306" s="48"/>
      <c r="E306" s="48"/>
      <c r="F306" s="48"/>
      <c r="G306" s="48"/>
    </row>
    <row r="307" spans="1:7" x14ac:dyDescent="0.3">
      <c r="A307" s="48"/>
      <c r="B307" s="48"/>
      <c r="C307" s="48"/>
      <c r="D307" s="48"/>
      <c r="E307" s="48"/>
      <c r="F307" s="48"/>
      <c r="G307" s="48"/>
    </row>
    <row r="308" spans="1:7" x14ac:dyDescent="0.3">
      <c r="A308" s="48"/>
      <c r="B308" s="48"/>
      <c r="C308" s="48"/>
      <c r="D308" s="48"/>
      <c r="E308" s="48"/>
      <c r="F308" s="48"/>
      <c r="G308" s="48"/>
    </row>
    <row r="309" spans="1:7" x14ac:dyDescent="0.3">
      <c r="A309" s="48"/>
      <c r="B309" s="48"/>
      <c r="C309" s="48"/>
      <c r="D309" s="48"/>
      <c r="E309" s="48"/>
      <c r="F309" s="48"/>
      <c r="G309" s="48"/>
    </row>
    <row r="310" spans="1:7" x14ac:dyDescent="0.3">
      <c r="A310" s="48"/>
      <c r="B310" s="48"/>
      <c r="C310" s="48"/>
      <c r="D310" s="48"/>
      <c r="E310" s="48"/>
      <c r="F310" s="48"/>
      <c r="G310" s="48"/>
    </row>
    <row r="311" spans="1:7" x14ac:dyDescent="0.3">
      <c r="A311" s="48"/>
      <c r="B311" s="48"/>
      <c r="C311" s="48"/>
      <c r="D311" s="48"/>
      <c r="E311" s="48"/>
      <c r="F311" s="48"/>
      <c r="G311" s="48"/>
    </row>
    <row r="312" spans="1:7" x14ac:dyDescent="0.3">
      <c r="A312" s="48"/>
      <c r="B312" s="48"/>
      <c r="C312" s="48"/>
      <c r="D312" s="48"/>
      <c r="E312" s="48"/>
      <c r="F312" s="48"/>
      <c r="G312" s="48"/>
    </row>
    <row r="313" spans="1:7" x14ac:dyDescent="0.3">
      <c r="A313" s="48"/>
      <c r="B313" s="48"/>
      <c r="C313" s="48"/>
      <c r="D313" s="48"/>
      <c r="E313" s="48"/>
      <c r="F313" s="48"/>
      <c r="G313" s="48"/>
    </row>
    <row r="314" spans="1:7" x14ac:dyDescent="0.3">
      <c r="A314" s="48"/>
      <c r="B314" s="48"/>
      <c r="C314" s="48"/>
      <c r="D314" s="48"/>
      <c r="E314" s="48"/>
      <c r="F314" s="48"/>
      <c r="G314" s="48"/>
    </row>
    <row r="315" spans="1:7" x14ac:dyDescent="0.3">
      <c r="A315" s="48"/>
      <c r="B315" s="48"/>
      <c r="C315" s="48"/>
      <c r="D315" s="48"/>
      <c r="E315" s="48"/>
      <c r="F315" s="48"/>
      <c r="G315" s="48"/>
    </row>
    <row r="316" spans="1:7" x14ac:dyDescent="0.3">
      <c r="A316" s="48"/>
      <c r="B316" s="48"/>
      <c r="C316" s="48"/>
      <c r="D316" s="48"/>
      <c r="E316" s="48"/>
      <c r="F316" s="48"/>
      <c r="G316" s="48"/>
    </row>
    <row r="317" spans="1:7" x14ac:dyDescent="0.3">
      <c r="A317" s="48"/>
      <c r="B317" s="48"/>
      <c r="C317" s="48"/>
      <c r="D317" s="48"/>
      <c r="E317" s="48"/>
      <c r="F317" s="48"/>
      <c r="G317" s="48"/>
    </row>
    <row r="318" spans="1:7" x14ac:dyDescent="0.3">
      <c r="A318" s="48"/>
      <c r="B318" s="48"/>
      <c r="C318" s="48"/>
      <c r="D318" s="48"/>
      <c r="E318" s="48"/>
      <c r="F318" s="48"/>
      <c r="G318" s="48"/>
    </row>
    <row r="319" spans="1:7" x14ac:dyDescent="0.3">
      <c r="A319" s="48"/>
      <c r="B319" s="48"/>
      <c r="C319" s="48"/>
      <c r="D319" s="48"/>
      <c r="E319" s="48"/>
      <c r="F319" s="48"/>
      <c r="G319" s="48"/>
    </row>
    <row r="320" spans="1:7" x14ac:dyDescent="0.3">
      <c r="A320" s="48"/>
      <c r="B320" s="48"/>
      <c r="C320" s="48"/>
      <c r="D320" s="48"/>
      <c r="E320" s="48"/>
      <c r="F320" s="48"/>
      <c r="G320" s="48"/>
    </row>
    <row r="321" spans="1:7" x14ac:dyDescent="0.3">
      <c r="A321" s="48"/>
      <c r="B321" s="48"/>
      <c r="C321" s="48"/>
      <c r="D321" s="48"/>
      <c r="E321" s="48"/>
      <c r="F321" s="48"/>
      <c r="G321" s="48"/>
    </row>
    <row r="322" spans="1:7" x14ac:dyDescent="0.3">
      <c r="A322" s="48"/>
      <c r="B322" s="48"/>
      <c r="C322" s="48"/>
      <c r="D322" s="48"/>
      <c r="E322" s="48"/>
      <c r="F322" s="48"/>
      <c r="G322" s="48"/>
    </row>
    <row r="323" spans="1:7" x14ac:dyDescent="0.3">
      <c r="A323" s="48"/>
      <c r="B323" s="48"/>
      <c r="C323" s="48"/>
      <c r="D323" s="48"/>
      <c r="E323" s="48"/>
      <c r="F323" s="48"/>
      <c r="G323" s="48"/>
    </row>
    <row r="324" spans="1:7" x14ac:dyDescent="0.3">
      <c r="A324" s="48"/>
      <c r="B324" s="48"/>
      <c r="C324" s="48"/>
      <c r="D324" s="48"/>
      <c r="E324" s="48"/>
      <c r="F324" s="48"/>
      <c r="G324" s="48"/>
    </row>
    <row r="325" spans="1:7" x14ac:dyDescent="0.3">
      <c r="A325" s="48"/>
      <c r="B325" s="48"/>
      <c r="C325" s="48"/>
      <c r="D325" s="48"/>
      <c r="E325" s="48"/>
      <c r="F325" s="48"/>
      <c r="G325" s="48"/>
    </row>
    <row r="326" spans="1:7" x14ac:dyDescent="0.3">
      <c r="A326" s="48"/>
      <c r="B326" s="48"/>
      <c r="C326" s="48"/>
      <c r="D326" s="48"/>
      <c r="E326" s="48"/>
      <c r="F326" s="48"/>
      <c r="G326" s="48"/>
    </row>
    <row r="327" spans="1:7" x14ac:dyDescent="0.3">
      <c r="A327" s="48"/>
      <c r="B327" s="48"/>
      <c r="C327" s="48"/>
      <c r="D327" s="48"/>
      <c r="E327" s="48"/>
      <c r="F327" s="48"/>
      <c r="G327" s="48"/>
    </row>
    <row r="328" spans="1:7" x14ac:dyDescent="0.3">
      <c r="A328" s="48"/>
      <c r="B328" s="48"/>
      <c r="C328" s="48"/>
      <c r="D328" s="48"/>
      <c r="E328" s="48"/>
      <c r="F328" s="48"/>
      <c r="G328" s="48"/>
    </row>
    <row r="329" spans="1:7" x14ac:dyDescent="0.3">
      <c r="A329" s="48"/>
      <c r="B329" s="48"/>
      <c r="C329" s="48"/>
      <c r="D329" s="48"/>
      <c r="E329" s="48"/>
      <c r="F329" s="48"/>
      <c r="G329" s="48"/>
    </row>
    <row r="330" spans="1:7" x14ac:dyDescent="0.3">
      <c r="A330" s="48"/>
      <c r="B330" s="48"/>
      <c r="C330" s="48"/>
      <c r="D330" s="48"/>
      <c r="E330" s="48"/>
      <c r="F330" s="48"/>
      <c r="G330" s="48"/>
    </row>
    <row r="331" spans="1:7" x14ac:dyDescent="0.3">
      <c r="A331" s="48"/>
      <c r="B331" s="48"/>
      <c r="C331" s="48"/>
      <c r="D331" s="48"/>
      <c r="E331" s="48"/>
      <c r="F331" s="48"/>
      <c r="G331" s="48"/>
    </row>
    <row r="332" spans="1:7" x14ac:dyDescent="0.3">
      <c r="A332" s="48"/>
      <c r="B332" s="48"/>
      <c r="C332" s="48"/>
      <c r="D332" s="48"/>
      <c r="E332" s="48"/>
      <c r="F332" s="48"/>
      <c r="G332" s="48"/>
    </row>
    <row r="333" spans="1:7" x14ac:dyDescent="0.3">
      <c r="A333" s="48"/>
      <c r="B333" s="48"/>
      <c r="C333" s="48"/>
      <c r="D333" s="48"/>
      <c r="E333" s="48"/>
      <c r="F333" s="48"/>
      <c r="G333" s="48"/>
    </row>
    <row r="334" spans="1:7" x14ac:dyDescent="0.3">
      <c r="A334" s="48"/>
      <c r="B334" s="48"/>
      <c r="C334" s="48"/>
      <c r="D334" s="48"/>
      <c r="E334" s="48"/>
      <c r="F334" s="48"/>
      <c r="G334" s="48"/>
    </row>
    <row r="335" spans="1:7" x14ac:dyDescent="0.3">
      <c r="A335" s="48"/>
      <c r="B335" s="48"/>
      <c r="C335" s="48"/>
      <c r="D335" s="48"/>
      <c r="E335" s="48"/>
      <c r="F335" s="48"/>
      <c r="G335" s="48"/>
    </row>
    <row r="336" spans="1:7" x14ac:dyDescent="0.3">
      <c r="A336" s="48"/>
      <c r="B336" s="48"/>
      <c r="C336" s="48"/>
      <c r="D336" s="48"/>
      <c r="E336" s="48"/>
      <c r="F336" s="48"/>
      <c r="G336" s="48"/>
    </row>
    <row r="337" spans="1:7" x14ac:dyDescent="0.3">
      <c r="A337" s="48"/>
      <c r="B337" s="48"/>
      <c r="C337" s="48"/>
      <c r="D337" s="48"/>
      <c r="E337" s="48"/>
      <c r="F337" s="48"/>
      <c r="G337" s="48"/>
    </row>
    <row r="338" spans="1:7" x14ac:dyDescent="0.3">
      <c r="A338" s="48"/>
      <c r="B338" s="48"/>
      <c r="C338" s="48"/>
      <c r="D338" s="48"/>
      <c r="E338" s="48"/>
      <c r="F338" s="48"/>
      <c r="G338" s="48"/>
    </row>
    <row r="339" spans="1:7" x14ac:dyDescent="0.3">
      <c r="A339" s="48"/>
      <c r="B339" s="48"/>
      <c r="C339" s="48"/>
      <c r="D339" s="48"/>
      <c r="E339" s="48"/>
      <c r="F339" s="48"/>
      <c r="G339" s="48"/>
    </row>
    <row r="340" spans="1:7" x14ac:dyDescent="0.3">
      <c r="A340" s="48"/>
      <c r="B340" s="48"/>
      <c r="C340" s="48"/>
      <c r="D340" s="48"/>
      <c r="E340" s="48"/>
      <c r="F340" s="48"/>
      <c r="G340" s="48"/>
    </row>
    <row r="341" spans="1:7" x14ac:dyDescent="0.3">
      <c r="A341" s="48"/>
      <c r="B341" s="48"/>
      <c r="C341" s="48"/>
      <c r="D341" s="48"/>
      <c r="E341" s="48"/>
      <c r="F341" s="48"/>
      <c r="G341" s="48"/>
    </row>
    <row r="342" spans="1:7" x14ac:dyDescent="0.3">
      <c r="A342" s="48"/>
      <c r="B342" s="48"/>
      <c r="C342" s="48"/>
      <c r="D342" s="48"/>
      <c r="E342" s="48"/>
      <c r="F342" s="48"/>
      <c r="G342" s="48"/>
    </row>
    <row r="343" spans="1:7" x14ac:dyDescent="0.3">
      <c r="A343" s="48"/>
      <c r="B343" s="48"/>
      <c r="C343" s="48"/>
      <c r="D343" s="48"/>
      <c r="E343" s="48"/>
      <c r="F343" s="48"/>
      <c r="G343" s="48"/>
    </row>
    <row r="344" spans="1:7" x14ac:dyDescent="0.3">
      <c r="A344" s="48"/>
      <c r="B344" s="48"/>
      <c r="C344" s="48"/>
      <c r="D344" s="48"/>
      <c r="E344" s="48"/>
      <c r="F344" s="48"/>
      <c r="G344" s="48"/>
    </row>
    <row r="345" spans="1:7" x14ac:dyDescent="0.3">
      <c r="A345" s="48"/>
      <c r="B345" s="48"/>
      <c r="C345" s="48"/>
      <c r="D345" s="48"/>
      <c r="E345" s="48"/>
      <c r="F345" s="48"/>
      <c r="G345" s="48"/>
    </row>
    <row r="346" spans="1:7" x14ac:dyDescent="0.3">
      <c r="A346" s="48"/>
      <c r="B346" s="48"/>
      <c r="C346" s="48"/>
      <c r="D346" s="48"/>
      <c r="E346" s="48"/>
      <c r="F346" s="48"/>
      <c r="G346" s="48"/>
    </row>
    <row r="347" spans="1:7" x14ac:dyDescent="0.3">
      <c r="A347" s="48"/>
      <c r="B347" s="48"/>
      <c r="C347" s="48"/>
      <c r="D347" s="48"/>
      <c r="E347" s="48"/>
      <c r="F347" s="48"/>
      <c r="G347" s="48"/>
    </row>
    <row r="348" spans="1:7" x14ac:dyDescent="0.3">
      <c r="A348" s="48"/>
      <c r="B348" s="48"/>
      <c r="C348" s="48"/>
      <c r="D348" s="48"/>
      <c r="E348" s="48"/>
      <c r="F348" s="48"/>
      <c r="G348" s="48"/>
    </row>
    <row r="349" spans="1:7" x14ac:dyDescent="0.3">
      <c r="A349" s="48"/>
      <c r="B349" s="48"/>
      <c r="C349" s="48"/>
      <c r="D349" s="48"/>
      <c r="E349" s="48"/>
      <c r="F349" s="48"/>
      <c r="G349" s="48"/>
    </row>
    <row r="350" spans="1:7" x14ac:dyDescent="0.3">
      <c r="A350" s="48"/>
      <c r="B350" s="48"/>
      <c r="C350" s="48"/>
      <c r="D350" s="48"/>
      <c r="E350" s="48"/>
      <c r="F350" s="48"/>
      <c r="G350" s="48"/>
    </row>
    <row r="351" spans="1:7" x14ac:dyDescent="0.3">
      <c r="A351" s="48"/>
      <c r="B351" s="48"/>
      <c r="C351" s="48"/>
      <c r="D351" s="48"/>
      <c r="E351" s="48"/>
      <c r="F351" s="48"/>
      <c r="G351" s="48"/>
    </row>
    <row r="352" spans="1:7" x14ac:dyDescent="0.3">
      <c r="A352" s="48"/>
      <c r="B352" s="48"/>
      <c r="C352" s="48"/>
      <c r="D352" s="48"/>
      <c r="E352" s="48"/>
      <c r="F352" s="48"/>
      <c r="G352" s="48"/>
    </row>
    <row r="353" spans="1:7" x14ac:dyDescent="0.3">
      <c r="A353" s="48"/>
      <c r="B353" s="48"/>
      <c r="C353" s="48"/>
      <c r="D353" s="48"/>
      <c r="E353" s="48"/>
      <c r="F353" s="48"/>
      <c r="G353" s="48"/>
    </row>
    <row r="354" spans="1:7" x14ac:dyDescent="0.3">
      <c r="A354" s="48"/>
      <c r="B354" s="48"/>
      <c r="C354" s="48"/>
      <c r="D354" s="48"/>
      <c r="E354" s="48"/>
      <c r="F354" s="48"/>
      <c r="G354" s="48"/>
    </row>
    <row r="355" spans="1:7" x14ac:dyDescent="0.3">
      <c r="A355" s="48"/>
      <c r="B355" s="48"/>
      <c r="C355" s="48"/>
      <c r="D355" s="48"/>
      <c r="E355" s="48"/>
      <c r="F355" s="48"/>
      <c r="G355" s="48"/>
    </row>
    <row r="356" spans="1:7" x14ac:dyDescent="0.3">
      <c r="A356" s="48"/>
      <c r="B356" s="48"/>
      <c r="C356" s="48"/>
      <c r="D356" s="48"/>
      <c r="E356" s="48"/>
      <c r="F356" s="48"/>
      <c r="G356" s="48"/>
    </row>
    <row r="357" spans="1:7" x14ac:dyDescent="0.3">
      <c r="A357" s="48"/>
      <c r="B357" s="48"/>
      <c r="C357" s="48"/>
      <c r="D357" s="48"/>
      <c r="E357" s="48"/>
      <c r="F357" s="48"/>
      <c r="G357" s="48"/>
    </row>
    <row r="358" spans="1:7" x14ac:dyDescent="0.3">
      <c r="A358" s="48"/>
      <c r="B358" s="48"/>
      <c r="C358" s="48"/>
      <c r="D358" s="48"/>
      <c r="E358" s="48"/>
      <c r="F358" s="48"/>
      <c r="G358" s="48"/>
    </row>
    <row r="359" spans="1:7" x14ac:dyDescent="0.3">
      <c r="A359" s="48"/>
      <c r="B359" s="48"/>
      <c r="C359" s="48"/>
      <c r="D359" s="48"/>
      <c r="E359" s="48"/>
      <c r="F359" s="48"/>
      <c r="G359" s="48"/>
    </row>
    <row r="360" spans="1:7" x14ac:dyDescent="0.3">
      <c r="A360" s="48"/>
      <c r="B360" s="48"/>
      <c r="C360" s="48"/>
      <c r="D360" s="48"/>
      <c r="E360" s="48"/>
      <c r="F360" s="48"/>
      <c r="G360" s="48"/>
    </row>
    <row r="361" spans="1:7" x14ac:dyDescent="0.3">
      <c r="A361" s="48"/>
      <c r="B361" s="48"/>
      <c r="C361" s="48"/>
      <c r="D361" s="48"/>
      <c r="E361" s="48"/>
      <c r="F361" s="48"/>
      <c r="G361" s="48"/>
    </row>
    <row r="362" spans="1:7" x14ac:dyDescent="0.3">
      <c r="A362" s="48"/>
      <c r="B362" s="48"/>
      <c r="C362" s="48"/>
      <c r="D362" s="48"/>
      <c r="E362" s="48"/>
      <c r="F362" s="48"/>
      <c r="G362" s="48"/>
    </row>
    <row r="363" spans="1:7" x14ac:dyDescent="0.3">
      <c r="A363" s="48"/>
      <c r="B363" s="48"/>
      <c r="C363" s="48"/>
      <c r="D363" s="48"/>
      <c r="E363" s="48"/>
      <c r="F363" s="48"/>
      <c r="G363" s="48"/>
    </row>
    <row r="364" spans="1:7" x14ac:dyDescent="0.3">
      <c r="A364" s="48"/>
      <c r="B364" s="48"/>
      <c r="C364" s="48"/>
      <c r="D364" s="48"/>
      <c r="E364" s="48"/>
      <c r="F364" s="48"/>
      <c r="G364" s="48"/>
    </row>
    <row r="365" spans="1:7" x14ac:dyDescent="0.3">
      <c r="A365" s="48"/>
      <c r="B365" s="48"/>
      <c r="C365" s="48"/>
      <c r="D365" s="48"/>
      <c r="E365" s="48"/>
      <c r="F365" s="48"/>
      <c r="G365" s="48"/>
    </row>
    <row r="366" spans="1:7" x14ac:dyDescent="0.3">
      <c r="A366" s="48"/>
      <c r="B366" s="48"/>
      <c r="C366" s="48"/>
      <c r="D366" s="48"/>
      <c r="E366" s="48"/>
      <c r="F366" s="48"/>
      <c r="G366" s="48"/>
    </row>
    <row r="367" spans="1:7" x14ac:dyDescent="0.3">
      <c r="A367" s="48"/>
      <c r="B367" s="48"/>
      <c r="C367" s="48"/>
      <c r="D367" s="48"/>
      <c r="E367" s="48"/>
      <c r="F367" s="48"/>
      <c r="G367" s="48"/>
    </row>
    <row r="368" spans="1:7" x14ac:dyDescent="0.3">
      <c r="A368" s="48"/>
      <c r="B368" s="48"/>
      <c r="C368" s="48"/>
      <c r="D368" s="48"/>
      <c r="E368" s="48"/>
      <c r="F368" s="48"/>
      <c r="G368" s="48"/>
    </row>
    <row r="369" spans="1:7" x14ac:dyDescent="0.3">
      <c r="A369" s="48"/>
      <c r="B369" s="48"/>
      <c r="C369" s="48"/>
      <c r="D369" s="48"/>
      <c r="E369" s="48"/>
      <c r="F369" s="48"/>
      <c r="G369" s="48"/>
    </row>
    <row r="370" spans="1:7" x14ac:dyDescent="0.3">
      <c r="A370" s="48"/>
      <c r="B370" s="48"/>
      <c r="C370" s="48"/>
      <c r="D370" s="48"/>
      <c r="E370" s="48"/>
      <c r="F370" s="48"/>
      <c r="G370" s="48"/>
    </row>
    <row r="371" spans="1:7" x14ac:dyDescent="0.3">
      <c r="A371" s="48"/>
      <c r="B371" s="48"/>
      <c r="C371" s="48"/>
      <c r="D371" s="48"/>
      <c r="E371" s="48"/>
      <c r="F371" s="48"/>
      <c r="G371" s="48"/>
    </row>
    <row r="372" spans="1:7" x14ac:dyDescent="0.3">
      <c r="A372" s="48"/>
      <c r="B372" s="48"/>
      <c r="C372" s="48"/>
      <c r="D372" s="48"/>
      <c r="E372" s="48"/>
      <c r="F372" s="48"/>
      <c r="G372" s="48"/>
    </row>
    <row r="373" spans="1:7" x14ac:dyDescent="0.3">
      <c r="A373" s="48"/>
      <c r="B373" s="48"/>
      <c r="C373" s="48"/>
      <c r="D373" s="48"/>
      <c r="E373" s="48"/>
      <c r="F373" s="48"/>
      <c r="G373" s="48"/>
    </row>
    <row r="374" spans="1:7" x14ac:dyDescent="0.3">
      <c r="A374" s="48"/>
      <c r="B374" s="48"/>
      <c r="C374" s="48"/>
      <c r="D374" s="48"/>
      <c r="E374" s="48"/>
      <c r="F374" s="48"/>
      <c r="G374" s="48"/>
    </row>
    <row r="375" spans="1:7" x14ac:dyDescent="0.3">
      <c r="A375" s="48"/>
      <c r="B375" s="48"/>
      <c r="C375" s="48"/>
      <c r="D375" s="48"/>
      <c r="E375" s="48"/>
      <c r="F375" s="48"/>
      <c r="G375" s="48"/>
    </row>
    <row r="376" spans="1:7" x14ac:dyDescent="0.3">
      <c r="A376" s="48"/>
      <c r="B376" s="48"/>
      <c r="C376" s="48"/>
      <c r="D376" s="48"/>
      <c r="E376" s="48"/>
      <c r="F376" s="48"/>
      <c r="G376" s="48"/>
    </row>
    <row r="377" spans="1:7" x14ac:dyDescent="0.3">
      <c r="A377" s="48"/>
      <c r="B377" s="48"/>
      <c r="C377" s="48"/>
      <c r="D377" s="48"/>
      <c r="E377" s="48"/>
      <c r="F377" s="48"/>
      <c r="G377" s="48"/>
    </row>
    <row r="378" spans="1:7" x14ac:dyDescent="0.3">
      <c r="A378" s="48"/>
      <c r="B378" s="48"/>
      <c r="C378" s="48"/>
      <c r="D378" s="48"/>
      <c r="E378" s="48"/>
      <c r="F378" s="48"/>
      <c r="G378" s="48"/>
    </row>
    <row r="379" spans="1:7" x14ac:dyDescent="0.3">
      <c r="A379" s="48"/>
      <c r="B379" s="48"/>
      <c r="C379" s="48"/>
      <c r="D379" s="48"/>
      <c r="E379" s="48"/>
      <c r="F379" s="48"/>
      <c r="G379" s="48"/>
    </row>
    <row r="380" spans="1:7" x14ac:dyDescent="0.3">
      <c r="A380" s="48"/>
      <c r="B380" s="48"/>
      <c r="C380" s="48"/>
      <c r="D380" s="48"/>
      <c r="E380" s="48"/>
      <c r="F380" s="48"/>
      <c r="G380" s="48"/>
    </row>
    <row r="381" spans="1:7" x14ac:dyDescent="0.3">
      <c r="A381" s="48"/>
      <c r="B381" s="48"/>
      <c r="C381" s="48"/>
      <c r="D381" s="48"/>
      <c r="E381" s="48"/>
      <c r="F381" s="48"/>
      <c r="G381" s="48"/>
    </row>
    <row r="382" spans="1:7" x14ac:dyDescent="0.3">
      <c r="A382" s="48"/>
      <c r="B382" s="48"/>
      <c r="C382" s="48"/>
      <c r="D382" s="48"/>
      <c r="E382" s="48"/>
      <c r="F382" s="48"/>
      <c r="G382" s="48"/>
    </row>
    <row r="383" spans="1:7" x14ac:dyDescent="0.3">
      <c r="A383" s="48"/>
      <c r="B383" s="48"/>
      <c r="C383" s="48"/>
      <c r="D383" s="48"/>
      <c r="E383" s="48"/>
      <c r="F383" s="48"/>
      <c r="G383" s="48"/>
    </row>
    <row r="384" spans="1:7" x14ac:dyDescent="0.3">
      <c r="A384" s="48"/>
      <c r="B384" s="48"/>
      <c r="C384" s="48"/>
      <c r="D384" s="48"/>
      <c r="E384" s="48"/>
      <c r="F384" s="48"/>
      <c r="G384" s="48"/>
    </row>
    <row r="385" spans="1:7" x14ac:dyDescent="0.3">
      <c r="A385" s="48"/>
      <c r="B385" s="48"/>
      <c r="C385" s="48"/>
      <c r="D385" s="48"/>
      <c r="E385" s="48"/>
      <c r="F385" s="48"/>
      <c r="G385" s="48"/>
    </row>
    <row r="386" spans="1:7" x14ac:dyDescent="0.3">
      <c r="A386" s="48"/>
      <c r="B386" s="48"/>
      <c r="C386" s="48"/>
      <c r="D386" s="48"/>
      <c r="E386" s="48"/>
      <c r="F386" s="48"/>
      <c r="G386" s="48"/>
    </row>
    <row r="387" spans="1:7" x14ac:dyDescent="0.3">
      <c r="A387" s="48"/>
      <c r="B387" s="48"/>
      <c r="C387" s="48"/>
      <c r="D387" s="48"/>
      <c r="E387" s="48"/>
      <c r="F387" s="48"/>
      <c r="G387" s="48"/>
    </row>
    <row r="388" spans="1:7" x14ac:dyDescent="0.3">
      <c r="A388" s="48"/>
      <c r="B388" s="48"/>
      <c r="C388" s="48"/>
      <c r="D388" s="48"/>
      <c r="E388" s="48"/>
      <c r="F388" s="48"/>
      <c r="G388" s="48"/>
    </row>
    <row r="389" spans="1:7" x14ac:dyDescent="0.3">
      <c r="A389" s="48"/>
      <c r="B389" s="48"/>
      <c r="C389" s="48"/>
      <c r="D389" s="48"/>
      <c r="E389" s="48"/>
      <c r="F389" s="48"/>
      <c r="G389" s="48"/>
    </row>
    <row r="390" spans="1:7" x14ac:dyDescent="0.3">
      <c r="A390" s="48"/>
      <c r="B390" s="48"/>
      <c r="C390" s="48"/>
      <c r="D390" s="48"/>
      <c r="E390" s="48"/>
      <c r="F390" s="48"/>
      <c r="G390" s="48"/>
    </row>
    <row r="391" spans="1:7" x14ac:dyDescent="0.3">
      <c r="A391" s="48"/>
      <c r="B391" s="48"/>
      <c r="C391" s="48"/>
      <c r="D391" s="48"/>
      <c r="E391" s="48"/>
      <c r="F391" s="48"/>
      <c r="G391" s="48"/>
    </row>
    <row r="392" spans="1:7" x14ac:dyDescent="0.3">
      <c r="A392" s="48"/>
      <c r="B392" s="48"/>
      <c r="C392" s="48"/>
      <c r="D392" s="48"/>
      <c r="E392" s="48"/>
      <c r="F392" s="48"/>
      <c r="G392" s="48"/>
    </row>
    <row r="393" spans="1:7" x14ac:dyDescent="0.3">
      <c r="A393" s="48"/>
      <c r="B393" s="48"/>
      <c r="C393" s="48"/>
      <c r="D393" s="48"/>
      <c r="E393" s="48"/>
      <c r="F393" s="48"/>
      <c r="G393" s="48"/>
    </row>
    <row r="394" spans="1:7" x14ac:dyDescent="0.3">
      <c r="A394" s="48"/>
      <c r="B394" s="48"/>
      <c r="C394" s="48"/>
      <c r="D394" s="48"/>
      <c r="E394" s="48"/>
      <c r="F394" s="48"/>
      <c r="G394" s="48"/>
    </row>
    <row r="395" spans="1:7" x14ac:dyDescent="0.3">
      <c r="A395" s="48"/>
      <c r="B395" s="48"/>
      <c r="C395" s="48"/>
      <c r="D395" s="48"/>
      <c r="E395" s="48"/>
      <c r="F395" s="48"/>
      <c r="G395" s="48"/>
    </row>
    <row r="396" spans="1:7" x14ac:dyDescent="0.3">
      <c r="A396" s="48"/>
      <c r="B396" s="48"/>
      <c r="C396" s="48"/>
      <c r="D396" s="48"/>
      <c r="E396" s="48"/>
      <c r="F396" s="48"/>
      <c r="G396" s="48"/>
    </row>
    <row r="397" spans="1:7" x14ac:dyDescent="0.3">
      <c r="A397" s="48"/>
      <c r="B397" s="48"/>
      <c r="C397" s="48"/>
      <c r="D397" s="48"/>
      <c r="E397" s="48"/>
      <c r="F397" s="48"/>
      <c r="G397" s="48"/>
    </row>
    <row r="398" spans="1:7" x14ac:dyDescent="0.3">
      <c r="A398" s="48"/>
      <c r="B398" s="48"/>
      <c r="C398" s="48"/>
      <c r="D398" s="48"/>
      <c r="E398" s="48"/>
      <c r="F398" s="48"/>
      <c r="G398" s="48"/>
    </row>
    <row r="399" spans="1:7" x14ac:dyDescent="0.3">
      <c r="A399" s="48"/>
      <c r="B399" s="48"/>
      <c r="C399" s="48"/>
      <c r="D399" s="48"/>
      <c r="E399" s="48"/>
      <c r="F399" s="48"/>
      <c r="G399" s="48"/>
    </row>
    <row r="400" spans="1:7" x14ac:dyDescent="0.3">
      <c r="A400" s="48"/>
      <c r="B400" s="48"/>
      <c r="C400" s="48"/>
      <c r="D400" s="48"/>
      <c r="E400" s="48"/>
      <c r="F400" s="48"/>
      <c r="G400" s="48"/>
    </row>
    <row r="401" spans="1:7" x14ac:dyDescent="0.3">
      <c r="A401" s="48"/>
      <c r="B401" s="48"/>
      <c r="C401" s="48"/>
      <c r="D401" s="48"/>
      <c r="E401" s="48"/>
      <c r="F401" s="48"/>
      <c r="G401" s="48"/>
    </row>
    <row r="402" spans="1:7" x14ac:dyDescent="0.3">
      <c r="A402" s="48"/>
      <c r="B402" s="48"/>
      <c r="C402" s="48"/>
      <c r="D402" s="48"/>
      <c r="E402" s="48"/>
      <c r="F402" s="48"/>
      <c r="G402" s="48"/>
    </row>
    <row r="403" spans="1:7" x14ac:dyDescent="0.3">
      <c r="A403" s="48"/>
      <c r="B403" s="48"/>
      <c r="C403" s="48"/>
      <c r="D403" s="48"/>
      <c r="E403" s="48"/>
      <c r="F403" s="48"/>
      <c r="G403" s="48"/>
    </row>
    <row r="404" spans="1:7" x14ac:dyDescent="0.3">
      <c r="A404" s="48"/>
      <c r="B404" s="48"/>
      <c r="C404" s="48"/>
      <c r="D404" s="48"/>
      <c r="E404" s="48"/>
      <c r="F404" s="48"/>
      <c r="G404" s="48"/>
    </row>
    <row r="405" spans="1:7" x14ac:dyDescent="0.3">
      <c r="A405" s="48"/>
      <c r="B405" s="48"/>
      <c r="C405" s="48"/>
      <c r="D405" s="48"/>
      <c r="E405" s="48"/>
      <c r="F405" s="48"/>
      <c r="G405" s="48"/>
    </row>
    <row r="406" spans="1:7" x14ac:dyDescent="0.3">
      <c r="A406" s="48"/>
      <c r="B406" s="48"/>
      <c r="C406" s="48"/>
      <c r="D406" s="48"/>
      <c r="E406" s="48"/>
      <c r="F406" s="48"/>
      <c r="G406" s="48"/>
    </row>
    <row r="407" spans="1:7" x14ac:dyDescent="0.3">
      <c r="A407" s="48"/>
      <c r="B407" s="48"/>
      <c r="C407" s="48"/>
      <c r="D407" s="48"/>
      <c r="E407" s="48"/>
      <c r="F407" s="48"/>
      <c r="G407" s="48"/>
    </row>
    <row r="408" spans="1:7" x14ac:dyDescent="0.3">
      <c r="A408" s="48"/>
      <c r="B408" s="48"/>
      <c r="C408" s="48"/>
      <c r="D408" s="48"/>
      <c r="E408" s="48"/>
      <c r="F408" s="48"/>
      <c r="G408" s="48"/>
    </row>
    <row r="409" spans="1:7" x14ac:dyDescent="0.3">
      <c r="A409" s="48"/>
      <c r="B409" s="48"/>
      <c r="C409" s="48"/>
      <c r="D409" s="48"/>
      <c r="E409" s="48"/>
      <c r="F409" s="48"/>
      <c r="G409" s="48"/>
    </row>
    <row r="410" spans="1:7" x14ac:dyDescent="0.3">
      <c r="A410" s="48"/>
      <c r="B410" s="48"/>
      <c r="C410" s="48"/>
      <c r="D410" s="48"/>
      <c r="E410" s="48"/>
      <c r="F410" s="48"/>
      <c r="G410" s="48"/>
    </row>
    <row r="411" spans="1:7" x14ac:dyDescent="0.3">
      <c r="A411" s="48"/>
      <c r="B411" s="48"/>
      <c r="C411" s="48"/>
      <c r="D411" s="48"/>
      <c r="E411" s="48"/>
      <c r="F411" s="48"/>
      <c r="G411" s="48"/>
    </row>
    <row r="412" spans="1:7" x14ac:dyDescent="0.3">
      <c r="A412" s="48"/>
      <c r="B412" s="48"/>
      <c r="C412" s="48"/>
      <c r="D412" s="48"/>
      <c r="E412" s="48"/>
      <c r="F412" s="48"/>
      <c r="G412" s="48"/>
    </row>
    <row r="413" spans="1:7" x14ac:dyDescent="0.3">
      <c r="A413" s="48"/>
      <c r="B413" s="48"/>
      <c r="C413" s="48"/>
      <c r="D413" s="48"/>
      <c r="E413" s="48"/>
      <c r="F413" s="48"/>
      <c r="G413" s="48"/>
    </row>
    <row r="414" spans="1:7" x14ac:dyDescent="0.3">
      <c r="A414" s="48"/>
      <c r="B414" s="48"/>
      <c r="C414" s="48"/>
      <c r="D414" s="48"/>
      <c r="E414" s="48"/>
      <c r="F414" s="48"/>
      <c r="G414" s="48"/>
    </row>
    <row r="415" spans="1:7" x14ac:dyDescent="0.3">
      <c r="A415" s="48"/>
      <c r="B415" s="48"/>
      <c r="C415" s="48"/>
      <c r="D415" s="48"/>
      <c r="E415" s="48"/>
      <c r="F415" s="48"/>
      <c r="G415" s="48"/>
    </row>
    <row r="416" spans="1:7" x14ac:dyDescent="0.3">
      <c r="A416" s="48"/>
      <c r="B416" s="48"/>
      <c r="C416" s="48"/>
      <c r="D416" s="48"/>
      <c r="E416" s="48"/>
      <c r="F416" s="48"/>
      <c r="G416" s="48"/>
    </row>
    <row r="417" spans="1:7" x14ac:dyDescent="0.3">
      <c r="A417" s="48"/>
      <c r="B417" s="48"/>
      <c r="C417" s="48"/>
      <c r="D417" s="48"/>
      <c r="E417" s="48"/>
      <c r="F417" s="48"/>
      <c r="G417" s="48"/>
    </row>
    <row r="418" spans="1:7" x14ac:dyDescent="0.3">
      <c r="A418" s="48"/>
      <c r="B418" s="48"/>
      <c r="C418" s="48"/>
      <c r="D418" s="48"/>
      <c r="E418" s="48"/>
      <c r="F418" s="48"/>
      <c r="G418" s="48"/>
    </row>
    <row r="419" spans="1:7" x14ac:dyDescent="0.3">
      <c r="A419" s="48"/>
      <c r="B419" s="48"/>
      <c r="C419" s="48"/>
      <c r="D419" s="48"/>
      <c r="E419" s="48"/>
      <c r="F419" s="48"/>
      <c r="G419" s="48"/>
    </row>
    <row r="420" spans="1:7" x14ac:dyDescent="0.3">
      <c r="A420" s="48"/>
      <c r="B420" s="48"/>
      <c r="C420" s="48"/>
      <c r="D420" s="48"/>
      <c r="E420" s="48"/>
      <c r="F420" s="48"/>
      <c r="G420" s="48"/>
    </row>
    <row r="421" spans="1:7" x14ac:dyDescent="0.3">
      <c r="A421" s="48"/>
      <c r="B421" s="48"/>
      <c r="C421" s="48"/>
      <c r="D421" s="48"/>
      <c r="E421" s="48"/>
      <c r="F421" s="48"/>
      <c r="G421" s="48"/>
    </row>
    <row r="422" spans="1:7" x14ac:dyDescent="0.3">
      <c r="A422" s="48"/>
      <c r="B422" s="48"/>
      <c r="C422" s="48"/>
      <c r="D422" s="48"/>
      <c r="E422" s="48"/>
      <c r="F422" s="48"/>
      <c r="G422" s="48"/>
    </row>
    <row r="423" spans="1:7" x14ac:dyDescent="0.3">
      <c r="A423" s="48"/>
      <c r="B423" s="48"/>
      <c r="C423" s="48"/>
      <c r="D423" s="48"/>
      <c r="E423" s="48"/>
      <c r="F423" s="48"/>
      <c r="G423" s="48"/>
    </row>
    <row r="424" spans="1:7" x14ac:dyDescent="0.3">
      <c r="A424" s="48"/>
      <c r="B424" s="48"/>
      <c r="C424" s="48"/>
      <c r="D424" s="48"/>
      <c r="E424" s="48"/>
      <c r="F424" s="48"/>
      <c r="G424" s="48"/>
    </row>
    <row r="425" spans="1:7" x14ac:dyDescent="0.3">
      <c r="A425" s="48"/>
      <c r="B425" s="48"/>
      <c r="C425" s="48"/>
      <c r="D425" s="48"/>
      <c r="E425" s="48"/>
      <c r="F425" s="48"/>
      <c r="G425" s="48"/>
    </row>
    <row r="426" spans="1:7" x14ac:dyDescent="0.3">
      <c r="A426" s="48"/>
      <c r="B426" s="48"/>
      <c r="C426" s="48"/>
      <c r="D426" s="48"/>
      <c r="E426" s="48"/>
      <c r="F426" s="48"/>
      <c r="G426" s="48"/>
    </row>
    <row r="427" spans="1:7" x14ac:dyDescent="0.3">
      <c r="A427" s="48"/>
      <c r="B427" s="48"/>
      <c r="C427" s="48"/>
      <c r="D427" s="48"/>
      <c r="E427" s="48"/>
      <c r="F427" s="48"/>
      <c r="G427" s="48"/>
    </row>
    <row r="428" spans="1:7" x14ac:dyDescent="0.3">
      <c r="A428" s="48"/>
      <c r="B428" s="48"/>
      <c r="C428" s="48"/>
      <c r="D428" s="48"/>
      <c r="E428" s="48"/>
      <c r="F428" s="48"/>
      <c r="G428" s="48"/>
    </row>
    <row r="429" spans="1:7" x14ac:dyDescent="0.3">
      <c r="A429" s="48"/>
      <c r="B429" s="48"/>
      <c r="C429" s="48"/>
      <c r="D429" s="48"/>
      <c r="E429" s="48"/>
      <c r="F429" s="48"/>
      <c r="G429" s="48"/>
    </row>
    <row r="430" spans="1:7" x14ac:dyDescent="0.3">
      <c r="A430" s="48"/>
      <c r="B430" s="48"/>
      <c r="C430" s="48"/>
      <c r="D430" s="48"/>
      <c r="E430" s="48"/>
      <c r="F430" s="48"/>
      <c r="G430" s="48"/>
    </row>
    <row r="431" spans="1:7" x14ac:dyDescent="0.3">
      <c r="A431" s="48"/>
      <c r="B431" s="48"/>
      <c r="C431" s="48"/>
      <c r="D431" s="48"/>
      <c r="E431" s="48"/>
      <c r="F431" s="48"/>
      <c r="G431" s="48"/>
    </row>
    <row r="432" spans="1:7" x14ac:dyDescent="0.3">
      <c r="A432" s="48"/>
      <c r="B432" s="48"/>
      <c r="C432" s="48"/>
      <c r="D432" s="48"/>
      <c r="E432" s="48"/>
      <c r="F432" s="48"/>
      <c r="G432" s="48"/>
    </row>
    <row r="433" spans="1:7" x14ac:dyDescent="0.3">
      <c r="A433" s="48"/>
      <c r="B433" s="48"/>
      <c r="C433" s="48"/>
      <c r="D433" s="48"/>
      <c r="E433" s="48"/>
      <c r="F433" s="48"/>
      <c r="G433" s="48"/>
    </row>
    <row r="434" spans="1:7" x14ac:dyDescent="0.3">
      <c r="A434" s="48"/>
      <c r="B434" s="48"/>
      <c r="C434" s="48"/>
      <c r="D434" s="48"/>
      <c r="E434" s="48"/>
      <c r="F434" s="48"/>
      <c r="G434" s="48"/>
    </row>
    <row r="435" spans="1:7" x14ac:dyDescent="0.3">
      <c r="A435" s="48"/>
      <c r="B435" s="48"/>
      <c r="C435" s="48"/>
      <c r="D435" s="48"/>
      <c r="E435" s="48"/>
      <c r="F435" s="48"/>
      <c r="G435" s="48"/>
    </row>
    <row r="436" spans="1:7" x14ac:dyDescent="0.3">
      <c r="A436" s="48"/>
      <c r="B436" s="48"/>
      <c r="C436" s="48"/>
      <c r="D436" s="48"/>
      <c r="E436" s="48"/>
      <c r="F436" s="48"/>
      <c r="G436" s="48"/>
    </row>
    <row r="437" spans="1:7" x14ac:dyDescent="0.3">
      <c r="A437" s="48"/>
      <c r="B437" s="48"/>
      <c r="C437" s="48"/>
      <c r="D437" s="48"/>
      <c r="E437" s="48"/>
      <c r="F437" s="48"/>
      <c r="G437" s="48"/>
    </row>
    <row r="438" spans="1:7" x14ac:dyDescent="0.3">
      <c r="A438" s="48"/>
      <c r="B438" s="48"/>
      <c r="C438" s="48"/>
      <c r="D438" s="48"/>
      <c r="E438" s="48"/>
      <c r="F438" s="48"/>
      <c r="G438" s="48"/>
    </row>
    <row r="439" spans="1:7" x14ac:dyDescent="0.3">
      <c r="A439" s="48"/>
      <c r="B439" s="48"/>
      <c r="C439" s="48"/>
      <c r="D439" s="48"/>
      <c r="E439" s="48"/>
      <c r="F439" s="48"/>
      <c r="G439" s="48"/>
    </row>
    <row r="440" spans="1:7" x14ac:dyDescent="0.3">
      <c r="A440" s="48"/>
      <c r="B440" s="48"/>
      <c r="C440" s="48"/>
      <c r="D440" s="48"/>
      <c r="E440" s="48"/>
      <c r="F440" s="48"/>
      <c r="G440" s="48"/>
    </row>
    <row r="441" spans="1:7" x14ac:dyDescent="0.3">
      <c r="A441" s="48"/>
      <c r="B441" s="48"/>
      <c r="C441" s="48"/>
      <c r="D441" s="48"/>
      <c r="E441" s="48"/>
      <c r="F441" s="48"/>
      <c r="G441" s="48"/>
    </row>
    <row r="442" spans="1:7" x14ac:dyDescent="0.3">
      <c r="A442" s="48"/>
      <c r="B442" s="48"/>
      <c r="C442" s="48"/>
      <c r="D442" s="48"/>
      <c r="E442" s="48"/>
      <c r="F442" s="48"/>
      <c r="G442" s="48"/>
    </row>
    <row r="443" spans="1:7" x14ac:dyDescent="0.3">
      <c r="A443" s="48"/>
      <c r="B443" s="48"/>
      <c r="C443" s="48"/>
      <c r="D443" s="48"/>
      <c r="E443" s="48"/>
      <c r="F443" s="48"/>
      <c r="G443" s="48"/>
    </row>
    <row r="444" spans="1:7" x14ac:dyDescent="0.3">
      <c r="A444" s="48"/>
      <c r="B444" s="48"/>
      <c r="C444" s="48"/>
      <c r="D444" s="48"/>
      <c r="E444" s="48"/>
      <c r="F444" s="48"/>
      <c r="G444" s="48"/>
    </row>
  </sheetData>
  <sortState xmlns:xlrd2="http://schemas.microsoft.com/office/spreadsheetml/2017/richdata2" ref="A2:G143">
    <sortCondition ref="A2:A143"/>
  </sortState>
  <hyperlinks>
    <hyperlink ref="A1" r:id="rId1" display="http://wa.me/5585" xr:uid="{C74AE972-EDC6-452F-B3DC-532C24496D61}"/>
    <hyperlink ref="E1" r:id="rId2" display="http://wa.me/5585" xr:uid="{A5C20311-0EDC-4F22-ADDE-8DE870D3135B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847C-B20C-4BDF-B5E4-89D0AA30BCA9}">
  <dimension ref="A1:AA979"/>
  <sheetViews>
    <sheetView workbookViewId="0">
      <selection activeCell="O3" sqref="O3"/>
    </sheetView>
  </sheetViews>
  <sheetFormatPr defaultColWidth="57.109375" defaultRowHeight="14.4" x14ac:dyDescent="0.3"/>
  <cols>
    <col min="1" max="1" width="12.6640625" bestFit="1" customWidth="1"/>
    <col min="2" max="2" width="10" bestFit="1" customWidth="1"/>
    <col min="3" max="3" width="10.5546875" bestFit="1" customWidth="1"/>
    <col min="4" max="4" width="10.77734375" customWidth="1"/>
    <col min="5" max="5" width="8.44140625" customWidth="1"/>
    <col min="6" max="26" width="5.77734375" customWidth="1"/>
  </cols>
  <sheetData>
    <row r="1" spans="1:27" ht="15" thickBot="1" x14ac:dyDescent="0.35">
      <c r="F1" s="112" t="s">
        <v>174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4"/>
    </row>
    <row r="2" spans="1:27" ht="15" thickBot="1" x14ac:dyDescent="0.35">
      <c r="A2" s="23"/>
      <c r="B2" s="25" t="s">
        <v>165</v>
      </c>
      <c r="C2" s="24" t="s">
        <v>163</v>
      </c>
      <c r="D2" s="24" t="s">
        <v>164</v>
      </c>
      <c r="E2" s="34" t="s">
        <v>166</v>
      </c>
      <c r="F2" s="38">
        <v>31</v>
      </c>
      <c r="G2" s="39">
        <v>30</v>
      </c>
      <c r="H2" s="39">
        <v>29</v>
      </c>
      <c r="I2" s="39">
        <v>28</v>
      </c>
      <c r="J2" s="39">
        <v>27</v>
      </c>
      <c r="K2" s="39">
        <v>26</v>
      </c>
      <c r="L2" s="39">
        <v>25</v>
      </c>
      <c r="M2" s="40">
        <v>24</v>
      </c>
      <c r="N2" s="41">
        <v>23</v>
      </c>
      <c r="O2" s="39">
        <v>22</v>
      </c>
      <c r="P2" s="39">
        <v>21</v>
      </c>
      <c r="Q2" s="39">
        <v>20</v>
      </c>
      <c r="R2" s="39">
        <v>19</v>
      </c>
      <c r="S2" s="39">
        <v>18</v>
      </c>
      <c r="T2" s="39">
        <v>17</v>
      </c>
      <c r="U2" s="39">
        <v>16</v>
      </c>
      <c r="V2" s="39">
        <v>15</v>
      </c>
      <c r="W2" s="39">
        <v>14</v>
      </c>
      <c r="X2" s="39">
        <v>13</v>
      </c>
      <c r="Y2" s="39">
        <v>12</v>
      </c>
      <c r="Z2" s="42">
        <v>11</v>
      </c>
      <c r="AA2" s="35"/>
    </row>
    <row r="3" spans="1:27" ht="15" thickBot="1" x14ac:dyDescent="0.35">
      <c r="A3" s="26" t="s">
        <v>135</v>
      </c>
      <c r="B3" s="28" t="s">
        <v>167</v>
      </c>
      <c r="C3" s="27">
        <v>300</v>
      </c>
      <c r="D3" s="22">
        <v>5</v>
      </c>
      <c r="E3" s="29">
        <v>4</v>
      </c>
      <c r="F3" s="36">
        <v>155</v>
      </c>
      <c r="G3" s="36">
        <v>150</v>
      </c>
      <c r="H3" s="36">
        <v>145</v>
      </c>
      <c r="I3" s="36">
        <v>140</v>
      </c>
      <c r="J3" s="36">
        <v>135</v>
      </c>
      <c r="K3" s="36">
        <v>130</v>
      </c>
      <c r="L3" s="36">
        <v>125</v>
      </c>
      <c r="M3" s="37">
        <v>120</v>
      </c>
      <c r="N3" s="37">
        <v>115</v>
      </c>
      <c r="O3" s="36">
        <v>110</v>
      </c>
      <c r="P3" s="36">
        <v>105</v>
      </c>
      <c r="Q3" s="36">
        <v>100</v>
      </c>
      <c r="R3" s="36">
        <v>95</v>
      </c>
      <c r="S3" s="36">
        <v>90</v>
      </c>
      <c r="T3" s="36">
        <v>85</v>
      </c>
      <c r="U3" s="36">
        <v>80</v>
      </c>
      <c r="V3" s="36">
        <v>75</v>
      </c>
      <c r="W3" s="36">
        <v>70</v>
      </c>
      <c r="X3" s="36">
        <v>65</v>
      </c>
      <c r="Y3" s="36">
        <v>60</v>
      </c>
      <c r="Z3" s="36">
        <v>55</v>
      </c>
      <c r="AA3" s="20"/>
    </row>
    <row r="4" spans="1:27" ht="15" thickBot="1" x14ac:dyDescent="0.35">
      <c r="A4" s="26" t="s">
        <v>135</v>
      </c>
      <c r="B4" s="28" t="s">
        <v>168</v>
      </c>
      <c r="C4" s="27">
        <v>600</v>
      </c>
      <c r="D4" s="22">
        <v>6</v>
      </c>
      <c r="E4" s="29">
        <v>6</v>
      </c>
      <c r="F4" s="22">
        <v>186</v>
      </c>
      <c r="G4" s="22">
        <v>180</v>
      </c>
      <c r="H4" s="22">
        <v>174</v>
      </c>
      <c r="I4" s="22">
        <v>168</v>
      </c>
      <c r="J4" s="22">
        <v>162</v>
      </c>
      <c r="K4" s="22">
        <v>156</v>
      </c>
      <c r="L4" s="22">
        <v>150</v>
      </c>
      <c r="M4" s="30">
        <v>144</v>
      </c>
      <c r="N4" s="30">
        <v>138</v>
      </c>
      <c r="O4" s="22">
        <v>132</v>
      </c>
      <c r="P4" s="22">
        <v>126</v>
      </c>
      <c r="Q4" s="22">
        <v>120</v>
      </c>
      <c r="R4" s="22">
        <v>114</v>
      </c>
      <c r="S4" s="22">
        <v>108</v>
      </c>
      <c r="T4" s="22">
        <v>102</v>
      </c>
      <c r="U4" s="22">
        <v>96</v>
      </c>
      <c r="V4" s="22">
        <v>90</v>
      </c>
      <c r="W4" s="22">
        <v>84</v>
      </c>
      <c r="X4" s="22">
        <v>78</v>
      </c>
      <c r="Y4" s="22">
        <v>72</v>
      </c>
      <c r="Z4" s="22">
        <v>66</v>
      </c>
      <c r="AA4" s="20"/>
    </row>
    <row r="5" spans="1:27" ht="15" thickBot="1" x14ac:dyDescent="0.35">
      <c r="A5" s="26" t="s">
        <v>135</v>
      </c>
      <c r="B5" s="28" t="s">
        <v>169</v>
      </c>
      <c r="C5" s="27">
        <v>900</v>
      </c>
      <c r="D5" s="22">
        <v>7</v>
      </c>
      <c r="E5" s="29">
        <v>8</v>
      </c>
      <c r="F5" s="22">
        <v>217</v>
      </c>
      <c r="G5" s="22">
        <v>210</v>
      </c>
      <c r="H5" s="22">
        <v>203</v>
      </c>
      <c r="I5" s="22">
        <v>196</v>
      </c>
      <c r="J5" s="22">
        <v>189</v>
      </c>
      <c r="K5" s="22">
        <v>182</v>
      </c>
      <c r="L5" s="22">
        <v>175</v>
      </c>
      <c r="M5" s="30">
        <v>168</v>
      </c>
      <c r="N5" s="30">
        <v>161</v>
      </c>
      <c r="O5" s="22">
        <v>154</v>
      </c>
      <c r="P5" s="22">
        <v>147</v>
      </c>
      <c r="Q5" s="22">
        <v>140</v>
      </c>
      <c r="R5" s="22">
        <v>133</v>
      </c>
      <c r="S5" s="22">
        <v>126</v>
      </c>
      <c r="T5" s="22">
        <v>119</v>
      </c>
      <c r="U5" s="22">
        <v>112</v>
      </c>
      <c r="V5" s="22">
        <v>105</v>
      </c>
      <c r="W5" s="22">
        <v>98</v>
      </c>
      <c r="X5" s="22">
        <v>91</v>
      </c>
      <c r="Y5" s="22">
        <v>84</v>
      </c>
      <c r="Z5" s="22">
        <v>77</v>
      </c>
      <c r="AA5" s="20"/>
    </row>
    <row r="6" spans="1:27" ht="15" thickBot="1" x14ac:dyDescent="0.35">
      <c r="A6" s="26" t="s">
        <v>135</v>
      </c>
      <c r="B6" s="28" t="s">
        <v>170</v>
      </c>
      <c r="C6" s="27">
        <v>1200</v>
      </c>
      <c r="D6" s="22">
        <v>8</v>
      </c>
      <c r="E6" s="29">
        <v>10</v>
      </c>
      <c r="F6" s="22">
        <v>248</v>
      </c>
      <c r="G6" s="22">
        <v>240</v>
      </c>
      <c r="H6" s="22">
        <v>232</v>
      </c>
      <c r="I6" s="22">
        <v>224</v>
      </c>
      <c r="J6" s="22">
        <v>216</v>
      </c>
      <c r="K6" s="22">
        <v>208</v>
      </c>
      <c r="L6" s="22">
        <v>200</v>
      </c>
      <c r="M6" s="30">
        <v>192</v>
      </c>
      <c r="N6" s="30">
        <v>184</v>
      </c>
      <c r="O6" s="22">
        <v>176</v>
      </c>
      <c r="P6" s="22">
        <v>168</v>
      </c>
      <c r="Q6" s="22">
        <v>160</v>
      </c>
      <c r="R6" s="22">
        <v>152</v>
      </c>
      <c r="S6" s="22">
        <v>144</v>
      </c>
      <c r="T6" s="22">
        <v>136</v>
      </c>
      <c r="U6" s="22">
        <v>128</v>
      </c>
      <c r="V6" s="22">
        <v>120</v>
      </c>
      <c r="W6" s="22">
        <v>112</v>
      </c>
      <c r="X6" s="22">
        <v>104</v>
      </c>
      <c r="Y6" s="22">
        <v>96</v>
      </c>
      <c r="Z6" s="22">
        <v>88</v>
      </c>
      <c r="AA6" s="20"/>
    </row>
    <row r="7" spans="1:27" ht="15" thickBot="1" x14ac:dyDescent="0.35">
      <c r="A7" s="31" t="s">
        <v>171</v>
      </c>
      <c r="B7" s="28" t="s">
        <v>167</v>
      </c>
      <c r="C7" s="27">
        <v>300</v>
      </c>
      <c r="D7" s="22">
        <v>6</v>
      </c>
      <c r="E7" s="29">
        <v>4</v>
      </c>
      <c r="F7" s="22">
        <v>186</v>
      </c>
      <c r="G7" s="22">
        <v>180</v>
      </c>
      <c r="H7" s="22">
        <v>174</v>
      </c>
      <c r="I7" s="22">
        <v>168</v>
      </c>
      <c r="J7" s="22">
        <v>162</v>
      </c>
      <c r="K7" s="22">
        <v>156</v>
      </c>
      <c r="L7" s="22">
        <v>150</v>
      </c>
      <c r="M7" s="30">
        <v>144</v>
      </c>
      <c r="N7" s="30">
        <v>138</v>
      </c>
      <c r="O7" s="22">
        <v>132</v>
      </c>
      <c r="P7" s="22">
        <v>126</v>
      </c>
      <c r="Q7" s="22">
        <v>120</v>
      </c>
      <c r="R7" s="22">
        <v>114</v>
      </c>
      <c r="S7" s="22">
        <v>108</v>
      </c>
      <c r="T7" s="22">
        <v>102</v>
      </c>
      <c r="U7" s="22">
        <v>96</v>
      </c>
      <c r="V7" s="22">
        <v>90</v>
      </c>
      <c r="W7" s="22">
        <v>84</v>
      </c>
      <c r="X7" s="22">
        <v>78</v>
      </c>
      <c r="Y7" s="22">
        <v>72</v>
      </c>
      <c r="Z7" s="22">
        <v>66</v>
      </c>
      <c r="AA7" s="20"/>
    </row>
    <row r="8" spans="1:27" ht="15" thickBot="1" x14ac:dyDescent="0.35">
      <c r="A8" s="31" t="s">
        <v>171</v>
      </c>
      <c r="B8" s="28" t="s">
        <v>168</v>
      </c>
      <c r="C8" s="27">
        <v>600</v>
      </c>
      <c r="D8" s="22">
        <v>7</v>
      </c>
      <c r="E8" s="29">
        <v>6</v>
      </c>
      <c r="F8" s="22">
        <v>217</v>
      </c>
      <c r="G8" s="22">
        <v>210</v>
      </c>
      <c r="H8" s="22">
        <v>203</v>
      </c>
      <c r="I8" s="22">
        <v>196</v>
      </c>
      <c r="J8" s="22">
        <v>189</v>
      </c>
      <c r="K8" s="22">
        <v>182</v>
      </c>
      <c r="L8" s="22">
        <v>175</v>
      </c>
      <c r="M8" s="30">
        <v>168</v>
      </c>
      <c r="N8" s="30">
        <v>161</v>
      </c>
      <c r="O8" s="22">
        <v>154</v>
      </c>
      <c r="P8" s="22">
        <v>147</v>
      </c>
      <c r="Q8" s="22">
        <v>140</v>
      </c>
      <c r="R8" s="22">
        <v>133</v>
      </c>
      <c r="S8" s="22">
        <v>126</v>
      </c>
      <c r="T8" s="22">
        <v>119</v>
      </c>
      <c r="U8" s="22">
        <v>112</v>
      </c>
      <c r="V8" s="22">
        <v>105</v>
      </c>
      <c r="W8" s="22">
        <v>98</v>
      </c>
      <c r="X8" s="22">
        <v>91</v>
      </c>
      <c r="Y8" s="22">
        <v>84</v>
      </c>
      <c r="Z8" s="22">
        <v>77</v>
      </c>
      <c r="AA8" s="20"/>
    </row>
    <row r="9" spans="1:27" ht="15" thickBot="1" x14ac:dyDescent="0.35">
      <c r="A9" s="31" t="s">
        <v>171</v>
      </c>
      <c r="B9" s="28" t="s">
        <v>169</v>
      </c>
      <c r="C9" s="27">
        <v>900</v>
      </c>
      <c r="D9" s="22">
        <v>8</v>
      </c>
      <c r="E9" s="29">
        <v>8</v>
      </c>
      <c r="F9" s="22">
        <v>248</v>
      </c>
      <c r="G9" s="22">
        <v>240</v>
      </c>
      <c r="H9" s="22">
        <v>232</v>
      </c>
      <c r="I9" s="22">
        <v>224</v>
      </c>
      <c r="J9" s="22">
        <v>216</v>
      </c>
      <c r="K9" s="22">
        <v>208</v>
      </c>
      <c r="L9" s="22">
        <v>200</v>
      </c>
      <c r="M9" s="30">
        <v>192</v>
      </c>
      <c r="N9" s="30">
        <v>184</v>
      </c>
      <c r="O9" s="22">
        <v>176</v>
      </c>
      <c r="P9" s="22">
        <v>168</v>
      </c>
      <c r="Q9" s="22">
        <v>160</v>
      </c>
      <c r="R9" s="22">
        <v>152</v>
      </c>
      <c r="S9" s="22">
        <v>144</v>
      </c>
      <c r="T9" s="22">
        <v>136</v>
      </c>
      <c r="U9" s="22">
        <v>128</v>
      </c>
      <c r="V9" s="22">
        <v>120</v>
      </c>
      <c r="W9" s="22">
        <v>112</v>
      </c>
      <c r="X9" s="22">
        <v>104</v>
      </c>
      <c r="Y9" s="22">
        <v>96</v>
      </c>
      <c r="Z9" s="22">
        <v>88</v>
      </c>
      <c r="AA9" s="20"/>
    </row>
    <row r="10" spans="1:27" ht="15" thickBot="1" x14ac:dyDescent="0.35">
      <c r="A10" s="31" t="s">
        <v>171</v>
      </c>
      <c r="B10" s="28" t="s">
        <v>170</v>
      </c>
      <c r="C10" s="27">
        <v>1200</v>
      </c>
      <c r="D10" s="22">
        <v>9</v>
      </c>
      <c r="E10" s="29">
        <v>10</v>
      </c>
      <c r="F10" s="22">
        <v>279</v>
      </c>
      <c r="G10" s="22">
        <v>270</v>
      </c>
      <c r="H10" s="22">
        <v>261</v>
      </c>
      <c r="I10" s="22">
        <v>252</v>
      </c>
      <c r="J10" s="22">
        <v>243</v>
      </c>
      <c r="K10" s="22">
        <v>234</v>
      </c>
      <c r="L10" s="22">
        <v>225</v>
      </c>
      <c r="M10" s="30">
        <v>216</v>
      </c>
      <c r="N10" s="30">
        <v>207</v>
      </c>
      <c r="O10" s="22">
        <v>198</v>
      </c>
      <c r="P10" s="22">
        <v>189</v>
      </c>
      <c r="Q10" s="22">
        <v>180</v>
      </c>
      <c r="R10" s="22">
        <v>171</v>
      </c>
      <c r="S10" s="22">
        <v>162</v>
      </c>
      <c r="T10" s="22">
        <v>153</v>
      </c>
      <c r="U10" s="22">
        <v>144</v>
      </c>
      <c r="V10" s="22">
        <v>135</v>
      </c>
      <c r="W10" s="22">
        <v>126</v>
      </c>
      <c r="X10" s="22">
        <v>117</v>
      </c>
      <c r="Y10" s="22">
        <v>108</v>
      </c>
      <c r="Z10" s="22">
        <v>99</v>
      </c>
      <c r="AA10" s="20"/>
    </row>
    <row r="11" spans="1:27" ht="15" thickBot="1" x14ac:dyDescent="0.35">
      <c r="A11" s="26" t="s">
        <v>137</v>
      </c>
      <c r="B11" s="28" t="s">
        <v>167</v>
      </c>
      <c r="C11" s="27">
        <v>600</v>
      </c>
      <c r="D11" s="22">
        <v>3.5</v>
      </c>
      <c r="E11" s="29">
        <v>4</v>
      </c>
      <c r="F11" s="22">
        <v>108.5</v>
      </c>
      <c r="G11" s="22">
        <v>105</v>
      </c>
      <c r="H11" s="22">
        <v>101.5</v>
      </c>
      <c r="I11" s="22">
        <v>98</v>
      </c>
      <c r="J11" s="22">
        <v>94.5</v>
      </c>
      <c r="K11" s="22">
        <v>91</v>
      </c>
      <c r="L11" s="22">
        <v>87.5</v>
      </c>
      <c r="M11" s="30">
        <v>84</v>
      </c>
      <c r="N11" s="30">
        <v>80.5</v>
      </c>
      <c r="O11" s="22">
        <v>77</v>
      </c>
      <c r="P11" s="22">
        <v>73.5</v>
      </c>
      <c r="Q11" s="22">
        <v>70</v>
      </c>
      <c r="R11" s="22">
        <v>66.5</v>
      </c>
      <c r="S11" s="22">
        <v>63</v>
      </c>
      <c r="T11" s="22">
        <v>59.5</v>
      </c>
      <c r="U11" s="22">
        <v>56</v>
      </c>
      <c r="V11" s="22">
        <v>52.5</v>
      </c>
      <c r="W11" s="22">
        <v>49</v>
      </c>
      <c r="X11" s="22">
        <v>45.5</v>
      </c>
      <c r="Y11" s="22">
        <v>42</v>
      </c>
      <c r="Z11" s="22">
        <v>38.5</v>
      </c>
      <c r="AA11" s="20"/>
    </row>
    <row r="12" spans="1:27" ht="15" thickBot="1" x14ac:dyDescent="0.35">
      <c r="A12" s="26" t="s">
        <v>137</v>
      </c>
      <c r="B12" s="28" t="s">
        <v>168</v>
      </c>
      <c r="C12" s="27">
        <v>900</v>
      </c>
      <c r="D12" s="22">
        <v>4.5</v>
      </c>
      <c r="E12" s="29">
        <v>6</v>
      </c>
      <c r="F12" s="22">
        <v>139.5</v>
      </c>
      <c r="G12" s="22">
        <v>135</v>
      </c>
      <c r="H12" s="22">
        <v>130.5</v>
      </c>
      <c r="I12" s="22">
        <v>126</v>
      </c>
      <c r="J12" s="22">
        <v>121.5</v>
      </c>
      <c r="K12" s="22">
        <v>117</v>
      </c>
      <c r="L12" s="22">
        <v>112.5</v>
      </c>
      <c r="M12" s="30">
        <v>108</v>
      </c>
      <c r="N12" s="30">
        <v>103.5</v>
      </c>
      <c r="O12" s="22">
        <v>99</v>
      </c>
      <c r="P12" s="22">
        <v>94.5</v>
      </c>
      <c r="Q12" s="22">
        <v>90</v>
      </c>
      <c r="R12" s="22">
        <v>85.5</v>
      </c>
      <c r="S12" s="22">
        <v>81</v>
      </c>
      <c r="T12" s="22">
        <v>76.5</v>
      </c>
      <c r="U12" s="22">
        <v>72</v>
      </c>
      <c r="V12" s="22">
        <v>67.5</v>
      </c>
      <c r="W12" s="22">
        <v>63</v>
      </c>
      <c r="X12" s="22">
        <v>58.5</v>
      </c>
      <c r="Y12" s="22">
        <v>54</v>
      </c>
      <c r="Z12" s="22">
        <v>49.5</v>
      </c>
      <c r="AA12" s="20"/>
    </row>
    <row r="13" spans="1:27" ht="15" thickBot="1" x14ac:dyDescent="0.35">
      <c r="A13" s="26" t="s">
        <v>137</v>
      </c>
      <c r="B13" s="28" t="s">
        <v>169</v>
      </c>
      <c r="C13" s="27">
        <v>1200</v>
      </c>
      <c r="D13" s="22">
        <v>5.5</v>
      </c>
      <c r="E13" s="29">
        <v>8</v>
      </c>
      <c r="F13" s="22">
        <v>170.5</v>
      </c>
      <c r="G13" s="22">
        <v>165</v>
      </c>
      <c r="H13" s="22">
        <v>159.5</v>
      </c>
      <c r="I13" s="22">
        <v>154</v>
      </c>
      <c r="J13" s="22">
        <v>148.5</v>
      </c>
      <c r="K13" s="22">
        <v>143</v>
      </c>
      <c r="L13" s="22">
        <v>137.5</v>
      </c>
      <c r="M13" s="30">
        <v>132</v>
      </c>
      <c r="N13" s="30">
        <v>126.5</v>
      </c>
      <c r="O13" s="22">
        <v>121</v>
      </c>
      <c r="P13" s="22">
        <v>115.5</v>
      </c>
      <c r="Q13" s="22">
        <v>110</v>
      </c>
      <c r="R13" s="22">
        <v>104.5</v>
      </c>
      <c r="S13" s="22">
        <v>99</v>
      </c>
      <c r="T13" s="22">
        <v>93.5</v>
      </c>
      <c r="U13" s="22">
        <v>88</v>
      </c>
      <c r="V13" s="22">
        <v>82.5</v>
      </c>
      <c r="W13" s="22">
        <v>77</v>
      </c>
      <c r="X13" s="22">
        <v>71.5</v>
      </c>
      <c r="Y13" s="22">
        <v>66</v>
      </c>
      <c r="Z13" s="22">
        <v>60.5</v>
      </c>
      <c r="AA13" s="20"/>
    </row>
    <row r="14" spans="1:27" ht="15" thickBot="1" x14ac:dyDescent="0.35">
      <c r="A14" s="26" t="s">
        <v>137</v>
      </c>
      <c r="B14" s="28" t="s">
        <v>170</v>
      </c>
      <c r="C14" s="27">
        <v>1500</v>
      </c>
      <c r="D14" s="22">
        <v>6.5</v>
      </c>
      <c r="E14" s="29">
        <v>10</v>
      </c>
      <c r="F14" s="22">
        <v>201.5</v>
      </c>
      <c r="G14" s="22">
        <v>195</v>
      </c>
      <c r="H14" s="22">
        <v>188.5</v>
      </c>
      <c r="I14" s="22">
        <v>182</v>
      </c>
      <c r="J14" s="22">
        <v>175.5</v>
      </c>
      <c r="K14" s="22">
        <v>169</v>
      </c>
      <c r="L14" s="22">
        <v>162.5</v>
      </c>
      <c r="M14" s="30">
        <v>156</v>
      </c>
      <c r="N14" s="32">
        <v>149.5</v>
      </c>
      <c r="O14" s="22">
        <v>143</v>
      </c>
      <c r="P14" s="22">
        <v>136.5</v>
      </c>
      <c r="Q14" s="22">
        <v>130</v>
      </c>
      <c r="R14" s="22">
        <v>123.5</v>
      </c>
      <c r="S14" s="22">
        <v>117</v>
      </c>
      <c r="T14" s="22">
        <v>110.5</v>
      </c>
      <c r="U14" s="22">
        <v>104</v>
      </c>
      <c r="V14" s="22">
        <v>97.5</v>
      </c>
      <c r="W14" s="22">
        <v>91</v>
      </c>
      <c r="X14" s="22">
        <v>84.5</v>
      </c>
      <c r="Y14" s="22">
        <v>78</v>
      </c>
      <c r="Z14" s="22">
        <v>71.5</v>
      </c>
      <c r="AA14" s="20"/>
    </row>
    <row r="15" spans="1:27" ht="15" thickBot="1" x14ac:dyDescent="0.35">
      <c r="A15" s="25" t="s">
        <v>3</v>
      </c>
      <c r="B15" s="28" t="s">
        <v>167</v>
      </c>
      <c r="C15" s="27">
        <v>300</v>
      </c>
      <c r="D15" s="22">
        <v>4</v>
      </c>
      <c r="E15" s="29">
        <v>4</v>
      </c>
      <c r="F15" s="22">
        <v>124</v>
      </c>
      <c r="G15" s="22">
        <v>120</v>
      </c>
      <c r="H15" s="22">
        <v>116</v>
      </c>
      <c r="I15" s="22">
        <v>112</v>
      </c>
      <c r="J15" s="22">
        <v>108</v>
      </c>
      <c r="K15" s="22">
        <v>104</v>
      </c>
      <c r="L15" s="22">
        <v>100</v>
      </c>
      <c r="M15" s="30">
        <v>96</v>
      </c>
      <c r="N15" s="30">
        <v>92</v>
      </c>
      <c r="O15" s="22">
        <v>88</v>
      </c>
      <c r="P15" s="22">
        <v>84</v>
      </c>
      <c r="Q15" s="22">
        <v>80</v>
      </c>
      <c r="R15" s="22">
        <v>76</v>
      </c>
      <c r="S15" s="22">
        <v>72</v>
      </c>
      <c r="T15" s="22">
        <v>68</v>
      </c>
      <c r="U15" s="22">
        <v>64</v>
      </c>
      <c r="V15" s="22">
        <v>60</v>
      </c>
      <c r="W15" s="22">
        <v>56</v>
      </c>
      <c r="X15" s="22">
        <v>52</v>
      </c>
      <c r="Y15" s="22">
        <v>48</v>
      </c>
      <c r="Z15" s="22">
        <v>44</v>
      </c>
      <c r="AA15" s="20"/>
    </row>
    <row r="16" spans="1:27" ht="15" thickBot="1" x14ac:dyDescent="0.35">
      <c r="A16" s="25" t="s">
        <v>3</v>
      </c>
      <c r="B16" s="28" t="s">
        <v>168</v>
      </c>
      <c r="C16" s="27">
        <v>600</v>
      </c>
      <c r="D16" s="22">
        <v>5</v>
      </c>
      <c r="E16" s="29">
        <v>6</v>
      </c>
      <c r="F16" s="22">
        <v>155</v>
      </c>
      <c r="G16" s="22">
        <v>150</v>
      </c>
      <c r="H16" s="22">
        <v>145</v>
      </c>
      <c r="I16" s="22">
        <v>140</v>
      </c>
      <c r="J16" s="22">
        <v>135</v>
      </c>
      <c r="K16" s="22">
        <v>130</v>
      </c>
      <c r="L16" s="22">
        <v>125</v>
      </c>
      <c r="M16" s="30">
        <v>120</v>
      </c>
      <c r="N16" s="30">
        <v>115</v>
      </c>
      <c r="O16" s="22">
        <v>110</v>
      </c>
      <c r="P16" s="22">
        <v>105</v>
      </c>
      <c r="Q16" s="22">
        <v>100</v>
      </c>
      <c r="R16" s="22">
        <v>95</v>
      </c>
      <c r="S16" s="22">
        <v>90</v>
      </c>
      <c r="T16" s="22">
        <v>85</v>
      </c>
      <c r="U16" s="22">
        <v>80</v>
      </c>
      <c r="V16" s="22">
        <v>75</v>
      </c>
      <c r="W16" s="22">
        <v>70</v>
      </c>
      <c r="X16" s="22">
        <v>65</v>
      </c>
      <c r="Y16" s="22">
        <v>60</v>
      </c>
      <c r="Z16" s="22">
        <v>55</v>
      </c>
      <c r="AA16" s="20"/>
    </row>
    <row r="17" spans="1:27" ht="15" thickBot="1" x14ac:dyDescent="0.35">
      <c r="A17" s="25" t="s">
        <v>3</v>
      </c>
      <c r="B17" s="28" t="s">
        <v>169</v>
      </c>
      <c r="C17" s="27">
        <v>900</v>
      </c>
      <c r="D17" s="22">
        <v>6</v>
      </c>
      <c r="E17" s="29">
        <v>8</v>
      </c>
      <c r="F17" s="22">
        <v>186</v>
      </c>
      <c r="G17" s="22">
        <v>180</v>
      </c>
      <c r="H17" s="22">
        <v>174</v>
      </c>
      <c r="I17" s="22">
        <v>168</v>
      </c>
      <c r="J17" s="22">
        <v>162</v>
      </c>
      <c r="K17" s="22">
        <v>156</v>
      </c>
      <c r="L17" s="22">
        <v>150</v>
      </c>
      <c r="M17" s="30">
        <v>144</v>
      </c>
      <c r="N17" s="30">
        <v>138</v>
      </c>
      <c r="O17" s="22">
        <v>132</v>
      </c>
      <c r="P17" s="22">
        <v>126</v>
      </c>
      <c r="Q17" s="22">
        <v>120</v>
      </c>
      <c r="R17" s="22">
        <v>114</v>
      </c>
      <c r="S17" s="22">
        <v>108</v>
      </c>
      <c r="T17" s="22">
        <v>102</v>
      </c>
      <c r="U17" s="22">
        <v>96</v>
      </c>
      <c r="V17" s="22">
        <v>90</v>
      </c>
      <c r="W17" s="22">
        <v>84</v>
      </c>
      <c r="X17" s="22">
        <v>78</v>
      </c>
      <c r="Y17" s="22">
        <v>72</v>
      </c>
      <c r="Z17" s="22">
        <v>66</v>
      </c>
      <c r="AA17" s="20"/>
    </row>
    <row r="18" spans="1:27" ht="15" thickBot="1" x14ac:dyDescent="0.35">
      <c r="A18" s="25" t="s">
        <v>3</v>
      </c>
      <c r="B18" s="28" t="s">
        <v>170</v>
      </c>
      <c r="C18" s="27">
        <v>1200</v>
      </c>
      <c r="D18" s="22">
        <v>7</v>
      </c>
      <c r="E18" s="29">
        <v>10</v>
      </c>
      <c r="F18" s="22">
        <v>217</v>
      </c>
      <c r="G18" s="22">
        <v>210</v>
      </c>
      <c r="H18" s="22">
        <v>203</v>
      </c>
      <c r="I18" s="22">
        <v>196</v>
      </c>
      <c r="J18" s="22">
        <v>189</v>
      </c>
      <c r="K18" s="22">
        <v>182</v>
      </c>
      <c r="L18" s="22">
        <v>175</v>
      </c>
      <c r="M18" s="30">
        <v>168</v>
      </c>
      <c r="N18" s="30">
        <v>161</v>
      </c>
      <c r="O18" s="22">
        <v>154</v>
      </c>
      <c r="P18" s="22">
        <v>147</v>
      </c>
      <c r="Q18" s="22">
        <v>140</v>
      </c>
      <c r="R18" s="22">
        <v>133</v>
      </c>
      <c r="S18" s="22">
        <v>126</v>
      </c>
      <c r="T18" s="22">
        <v>119</v>
      </c>
      <c r="U18" s="22">
        <v>112</v>
      </c>
      <c r="V18" s="22">
        <v>105</v>
      </c>
      <c r="W18" s="22">
        <v>98</v>
      </c>
      <c r="X18" s="22">
        <v>91</v>
      </c>
      <c r="Y18" s="22">
        <v>84</v>
      </c>
      <c r="Z18" s="22">
        <v>77</v>
      </c>
      <c r="AA18" s="20"/>
    </row>
    <row r="19" spans="1:27" ht="15" thickBot="1" x14ac:dyDescent="0.35">
      <c r="A19" s="33" t="s">
        <v>172</v>
      </c>
      <c r="B19" s="28" t="s">
        <v>167</v>
      </c>
      <c r="C19" s="27">
        <v>600</v>
      </c>
      <c r="D19" s="22">
        <v>3</v>
      </c>
      <c r="E19" s="29">
        <v>4</v>
      </c>
      <c r="F19" s="22">
        <v>93</v>
      </c>
      <c r="G19" s="22">
        <v>90</v>
      </c>
      <c r="H19" s="22">
        <v>87</v>
      </c>
      <c r="I19" s="22">
        <v>84</v>
      </c>
      <c r="J19" s="22">
        <v>81</v>
      </c>
      <c r="K19" s="22">
        <v>78</v>
      </c>
      <c r="L19" s="22">
        <v>75</v>
      </c>
      <c r="M19" s="30">
        <v>72</v>
      </c>
      <c r="N19" s="30">
        <v>69</v>
      </c>
      <c r="O19" s="22">
        <v>66</v>
      </c>
      <c r="P19" s="22">
        <v>63</v>
      </c>
      <c r="Q19" s="22">
        <v>60</v>
      </c>
      <c r="R19" s="22">
        <v>57</v>
      </c>
      <c r="S19" s="22">
        <v>54</v>
      </c>
      <c r="T19" s="22">
        <v>51</v>
      </c>
      <c r="U19" s="22">
        <v>48</v>
      </c>
      <c r="V19" s="22">
        <v>45</v>
      </c>
      <c r="W19" s="22">
        <v>42</v>
      </c>
      <c r="X19" s="22">
        <v>39</v>
      </c>
      <c r="Y19" s="22">
        <v>36</v>
      </c>
      <c r="Z19" s="22">
        <v>33</v>
      </c>
      <c r="AA19" s="20"/>
    </row>
    <row r="20" spans="1:27" ht="15" thickBot="1" x14ac:dyDescent="0.35">
      <c r="A20" s="33" t="s">
        <v>172</v>
      </c>
      <c r="B20" s="28" t="s">
        <v>168</v>
      </c>
      <c r="C20" s="27">
        <v>900</v>
      </c>
      <c r="D20" s="22">
        <v>4</v>
      </c>
      <c r="E20" s="29">
        <v>6</v>
      </c>
      <c r="F20" s="22">
        <v>124</v>
      </c>
      <c r="G20" s="22">
        <v>120</v>
      </c>
      <c r="H20" s="22">
        <v>116</v>
      </c>
      <c r="I20" s="22">
        <v>112</v>
      </c>
      <c r="J20" s="22">
        <v>108</v>
      </c>
      <c r="K20" s="22">
        <v>104</v>
      </c>
      <c r="L20" s="22">
        <v>100</v>
      </c>
      <c r="M20" s="30">
        <v>96</v>
      </c>
      <c r="N20" s="30">
        <v>92</v>
      </c>
      <c r="O20" s="22">
        <v>88</v>
      </c>
      <c r="P20" s="22">
        <v>84</v>
      </c>
      <c r="Q20" s="22">
        <v>80</v>
      </c>
      <c r="R20" s="22">
        <v>76</v>
      </c>
      <c r="S20" s="22">
        <v>72</v>
      </c>
      <c r="T20" s="22">
        <v>68</v>
      </c>
      <c r="U20" s="22">
        <v>64</v>
      </c>
      <c r="V20" s="22">
        <v>60</v>
      </c>
      <c r="W20" s="22">
        <v>56</v>
      </c>
      <c r="X20" s="22">
        <v>52</v>
      </c>
      <c r="Y20" s="22">
        <v>48</v>
      </c>
      <c r="Z20" s="22">
        <v>44</v>
      </c>
      <c r="AA20" s="20"/>
    </row>
    <row r="21" spans="1:27" ht="15" thickBot="1" x14ac:dyDescent="0.35">
      <c r="A21" s="33" t="s">
        <v>172</v>
      </c>
      <c r="B21" s="28" t="s">
        <v>169</v>
      </c>
      <c r="C21" s="27">
        <v>1200</v>
      </c>
      <c r="D21" s="22">
        <v>5</v>
      </c>
      <c r="E21" s="29">
        <v>8</v>
      </c>
      <c r="F21" s="22">
        <v>155</v>
      </c>
      <c r="G21" s="22">
        <v>150</v>
      </c>
      <c r="H21" s="22">
        <v>145</v>
      </c>
      <c r="I21" s="22">
        <v>140</v>
      </c>
      <c r="J21" s="22">
        <v>135</v>
      </c>
      <c r="K21" s="22">
        <v>130</v>
      </c>
      <c r="L21" s="22">
        <v>125</v>
      </c>
      <c r="M21" s="30">
        <v>120</v>
      </c>
      <c r="N21" s="30">
        <v>115</v>
      </c>
      <c r="O21" s="22">
        <v>110</v>
      </c>
      <c r="P21" s="22">
        <v>105</v>
      </c>
      <c r="Q21" s="22">
        <v>100</v>
      </c>
      <c r="R21" s="22">
        <v>95</v>
      </c>
      <c r="S21" s="22">
        <v>90</v>
      </c>
      <c r="T21" s="22">
        <v>85</v>
      </c>
      <c r="U21" s="22">
        <v>80</v>
      </c>
      <c r="V21" s="22">
        <v>75</v>
      </c>
      <c r="W21" s="22">
        <v>70</v>
      </c>
      <c r="X21" s="22">
        <v>65</v>
      </c>
      <c r="Y21" s="22">
        <v>60</v>
      </c>
      <c r="Z21" s="22">
        <v>55</v>
      </c>
      <c r="AA21" s="20"/>
    </row>
    <row r="22" spans="1:27" ht="15" thickBot="1" x14ac:dyDescent="0.35">
      <c r="A22" s="33" t="s">
        <v>172</v>
      </c>
      <c r="B22" s="28" t="s">
        <v>170</v>
      </c>
      <c r="C22" s="27">
        <v>1500</v>
      </c>
      <c r="D22" s="22">
        <v>6</v>
      </c>
      <c r="E22" s="29">
        <v>10</v>
      </c>
      <c r="F22" s="22">
        <v>186</v>
      </c>
      <c r="G22" s="22">
        <v>180</v>
      </c>
      <c r="H22" s="22">
        <v>174</v>
      </c>
      <c r="I22" s="22">
        <v>168</v>
      </c>
      <c r="J22" s="22">
        <v>162</v>
      </c>
      <c r="K22" s="22">
        <v>156</v>
      </c>
      <c r="L22" s="22">
        <v>150</v>
      </c>
      <c r="M22" s="30">
        <v>144</v>
      </c>
      <c r="N22" s="30">
        <v>138</v>
      </c>
      <c r="O22" s="22">
        <v>132</v>
      </c>
      <c r="P22" s="22">
        <v>126</v>
      </c>
      <c r="Q22" s="22">
        <v>120</v>
      </c>
      <c r="R22" s="22">
        <v>114</v>
      </c>
      <c r="S22" s="22">
        <v>108</v>
      </c>
      <c r="T22" s="22">
        <v>102</v>
      </c>
      <c r="U22" s="22">
        <v>96</v>
      </c>
      <c r="V22" s="22">
        <v>90</v>
      </c>
      <c r="W22" s="22">
        <v>84</v>
      </c>
      <c r="X22" s="22">
        <v>78</v>
      </c>
      <c r="Y22" s="22">
        <v>72</v>
      </c>
      <c r="Z22" s="22">
        <v>66</v>
      </c>
      <c r="AA22" s="20"/>
    </row>
    <row r="23" spans="1:27" ht="15" thickBot="1" x14ac:dyDescent="0.35">
      <c r="A23" s="31" t="s">
        <v>173</v>
      </c>
      <c r="B23" s="28" t="s">
        <v>167</v>
      </c>
      <c r="C23" s="27">
        <v>600</v>
      </c>
      <c r="D23" s="22">
        <v>4.5</v>
      </c>
      <c r="E23" s="29">
        <v>4</v>
      </c>
      <c r="F23" s="22">
        <v>139.5</v>
      </c>
      <c r="G23" s="22">
        <v>135</v>
      </c>
      <c r="H23" s="22">
        <v>130.5</v>
      </c>
      <c r="I23" s="22">
        <v>126</v>
      </c>
      <c r="J23" s="22">
        <v>121.5</v>
      </c>
      <c r="K23" s="22">
        <v>117</v>
      </c>
      <c r="L23" s="22">
        <v>112.5</v>
      </c>
      <c r="M23" s="30">
        <v>108</v>
      </c>
      <c r="N23" s="30">
        <v>103.5</v>
      </c>
      <c r="O23" s="22">
        <v>99</v>
      </c>
      <c r="P23" s="22">
        <v>94.5</v>
      </c>
      <c r="Q23" s="22">
        <v>90</v>
      </c>
      <c r="R23" s="22">
        <v>85.5</v>
      </c>
      <c r="S23" s="22">
        <v>81</v>
      </c>
      <c r="T23" s="22">
        <v>76.5</v>
      </c>
      <c r="U23" s="22">
        <v>72</v>
      </c>
      <c r="V23" s="22">
        <v>67.5</v>
      </c>
      <c r="W23" s="22">
        <v>63</v>
      </c>
      <c r="X23" s="22">
        <v>58.5</v>
      </c>
      <c r="Y23" s="22">
        <v>54</v>
      </c>
      <c r="Z23" s="22">
        <v>49.5</v>
      </c>
      <c r="AA23" s="20"/>
    </row>
    <row r="24" spans="1:27" ht="15" thickBot="1" x14ac:dyDescent="0.35">
      <c r="A24" s="31" t="s">
        <v>173</v>
      </c>
      <c r="B24" s="28" t="s">
        <v>168</v>
      </c>
      <c r="C24" s="27">
        <v>900</v>
      </c>
      <c r="D24" s="22">
        <v>5.5</v>
      </c>
      <c r="E24" s="29">
        <v>6</v>
      </c>
      <c r="F24" s="22">
        <v>170.5</v>
      </c>
      <c r="G24" s="22">
        <v>165</v>
      </c>
      <c r="H24" s="22">
        <v>159.5</v>
      </c>
      <c r="I24" s="22">
        <v>154</v>
      </c>
      <c r="J24" s="22">
        <v>148.5</v>
      </c>
      <c r="K24" s="22">
        <v>143</v>
      </c>
      <c r="L24" s="22">
        <v>137.5</v>
      </c>
      <c r="M24" s="30">
        <v>132</v>
      </c>
      <c r="N24" s="30">
        <v>126.5</v>
      </c>
      <c r="O24" s="22">
        <v>121</v>
      </c>
      <c r="P24" s="22">
        <v>115.5</v>
      </c>
      <c r="Q24" s="22">
        <v>110</v>
      </c>
      <c r="R24" s="22">
        <v>104.5</v>
      </c>
      <c r="S24" s="22">
        <v>99</v>
      </c>
      <c r="T24" s="22">
        <v>93.5</v>
      </c>
      <c r="U24" s="22">
        <v>88</v>
      </c>
      <c r="V24" s="22">
        <v>82.5</v>
      </c>
      <c r="W24" s="22">
        <v>77</v>
      </c>
      <c r="X24" s="22">
        <v>71.5</v>
      </c>
      <c r="Y24" s="22">
        <v>66</v>
      </c>
      <c r="Z24" s="22">
        <v>60.5</v>
      </c>
      <c r="AA24" s="20"/>
    </row>
    <row r="25" spans="1:27" ht="15" thickBot="1" x14ac:dyDescent="0.35">
      <c r="A25" s="31" t="s">
        <v>173</v>
      </c>
      <c r="B25" s="28" t="s">
        <v>169</v>
      </c>
      <c r="C25" s="27">
        <v>1200</v>
      </c>
      <c r="D25" s="22">
        <v>6.5</v>
      </c>
      <c r="E25" s="29">
        <v>8</v>
      </c>
      <c r="F25" s="22">
        <v>201.5</v>
      </c>
      <c r="G25" s="22">
        <v>195</v>
      </c>
      <c r="H25" s="22">
        <v>188.5</v>
      </c>
      <c r="I25" s="22">
        <v>182</v>
      </c>
      <c r="J25" s="22">
        <v>175.5</v>
      </c>
      <c r="K25" s="22">
        <v>169</v>
      </c>
      <c r="L25" s="22">
        <v>162.5</v>
      </c>
      <c r="M25" s="30">
        <v>156</v>
      </c>
      <c r="N25" s="30">
        <v>149.5</v>
      </c>
      <c r="O25" s="22">
        <v>143</v>
      </c>
      <c r="P25" s="22">
        <v>136.5</v>
      </c>
      <c r="Q25" s="22">
        <v>130</v>
      </c>
      <c r="R25" s="22">
        <v>123.5</v>
      </c>
      <c r="S25" s="22">
        <v>117</v>
      </c>
      <c r="T25" s="22">
        <v>110.5</v>
      </c>
      <c r="U25" s="22">
        <v>104</v>
      </c>
      <c r="V25" s="22">
        <v>97.5</v>
      </c>
      <c r="W25" s="22">
        <v>91</v>
      </c>
      <c r="X25" s="22">
        <v>84.5</v>
      </c>
      <c r="Y25" s="22">
        <v>78</v>
      </c>
      <c r="Z25" s="22">
        <v>71.5</v>
      </c>
      <c r="AA25" s="20"/>
    </row>
    <row r="26" spans="1:27" ht="15" thickBot="1" x14ac:dyDescent="0.35">
      <c r="A26" s="31" t="s">
        <v>173</v>
      </c>
      <c r="B26" s="28" t="s">
        <v>170</v>
      </c>
      <c r="C26" s="27">
        <v>1500</v>
      </c>
      <c r="D26" s="22">
        <v>7.5</v>
      </c>
      <c r="E26" s="29">
        <v>10</v>
      </c>
      <c r="F26" s="22">
        <v>232.5</v>
      </c>
      <c r="G26" s="22">
        <v>225</v>
      </c>
      <c r="H26" s="22">
        <v>217.5</v>
      </c>
      <c r="I26" s="22">
        <v>210</v>
      </c>
      <c r="J26" s="22">
        <v>202.5</v>
      </c>
      <c r="K26" s="22">
        <v>195</v>
      </c>
      <c r="L26" s="22">
        <v>187.5</v>
      </c>
      <c r="M26" s="30">
        <v>180</v>
      </c>
      <c r="N26" s="30">
        <v>172.5</v>
      </c>
      <c r="O26" s="22">
        <v>165</v>
      </c>
      <c r="P26" s="22">
        <v>157.5</v>
      </c>
      <c r="Q26" s="22">
        <v>150</v>
      </c>
      <c r="R26" s="22">
        <v>142.5</v>
      </c>
      <c r="S26" s="22">
        <v>135</v>
      </c>
      <c r="T26" s="22">
        <v>127.5</v>
      </c>
      <c r="U26" s="22">
        <v>120</v>
      </c>
      <c r="V26" s="22">
        <v>112.5</v>
      </c>
      <c r="W26" s="22">
        <v>105</v>
      </c>
      <c r="X26" s="22">
        <v>97.5</v>
      </c>
      <c r="Y26" s="22">
        <v>90</v>
      </c>
      <c r="Z26" s="22">
        <v>82.5</v>
      </c>
      <c r="AA26" s="20"/>
    </row>
    <row r="27" spans="1:27" ht="15" thickBot="1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5" thickBot="1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5" thickBot="1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5" thickBot="1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5" thickBot="1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5" thickBot="1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5" thickBot="1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5" thickBot="1" x14ac:dyDescent="0.3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5" thickBot="1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5" thickBot="1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5" thickBot="1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5" thickBot="1" x14ac:dyDescent="0.3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5" thickBot="1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5" thickBot="1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5" thickBot="1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5" thickBot="1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5" thickBot="1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5" thickBot="1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5" thickBot="1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5" thickBot="1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5" thickBot="1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5" thickBot="1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5" thickBot="1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5" thickBot="1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5" thickBot="1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5" thickBot="1" x14ac:dyDescent="0.3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5" thickBot="1" x14ac:dyDescent="0.3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5" thickBot="1" x14ac:dyDescent="0.3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5" thickBot="1" x14ac:dyDescent="0.3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5" thickBot="1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5" thickBot="1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5" thickBot="1" x14ac:dyDescent="0.3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5" thickBot="1" x14ac:dyDescent="0.3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5" thickBot="1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5" thickBot="1" x14ac:dyDescent="0.3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5" thickBot="1" x14ac:dyDescent="0.3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5" thickBot="1" x14ac:dyDescent="0.3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5" thickBot="1" x14ac:dyDescent="0.3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5" thickBot="1" x14ac:dyDescent="0.3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5" thickBot="1" x14ac:dyDescent="0.3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5" thickBot="1" x14ac:dyDescent="0.3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5" thickBot="1" x14ac:dyDescent="0.3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5" thickBot="1" x14ac:dyDescent="0.3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5" thickBot="1" x14ac:dyDescent="0.3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5" thickBot="1" x14ac:dyDescent="0.3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5" thickBot="1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5" thickBot="1" x14ac:dyDescent="0.3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5" thickBot="1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5" thickBot="1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5" thickBot="1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5" thickBot="1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5" thickBot="1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5" thickBot="1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5" thickBot="1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5" thickBot="1" x14ac:dyDescent="0.3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5" thickBot="1" x14ac:dyDescent="0.3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5" thickBot="1" x14ac:dyDescent="0.3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5" thickBot="1" x14ac:dyDescent="0.3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5" thickBot="1" x14ac:dyDescent="0.3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5" thickBot="1" x14ac:dyDescent="0.3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5" thickBot="1" x14ac:dyDescent="0.3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5" thickBot="1" x14ac:dyDescent="0.3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5" thickBot="1" x14ac:dyDescent="0.3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5" thickBot="1" x14ac:dyDescent="0.3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5" thickBot="1" x14ac:dyDescent="0.3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5" thickBot="1" x14ac:dyDescent="0.3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5" thickBot="1" x14ac:dyDescent="0.3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5" thickBot="1" x14ac:dyDescent="0.3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5" thickBot="1" x14ac:dyDescent="0.3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5" thickBot="1" x14ac:dyDescent="0.3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5" thickBot="1" x14ac:dyDescent="0.3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5" thickBot="1" x14ac:dyDescent="0.3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5" thickBot="1" x14ac:dyDescent="0.3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5" thickBot="1" x14ac:dyDescent="0.3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5" thickBot="1" x14ac:dyDescent="0.3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5" thickBot="1" x14ac:dyDescent="0.3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5" thickBot="1" x14ac:dyDescent="0.3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5" thickBot="1" x14ac:dyDescent="0.3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5" thickBot="1" x14ac:dyDescent="0.3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5" thickBot="1" x14ac:dyDescent="0.3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5" thickBot="1" x14ac:dyDescent="0.3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5" thickBot="1" x14ac:dyDescent="0.3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5" thickBot="1" x14ac:dyDescent="0.3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5" thickBot="1" x14ac:dyDescent="0.3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5" thickBot="1" x14ac:dyDescent="0.3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5" thickBot="1" x14ac:dyDescent="0.3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5" thickBot="1" x14ac:dyDescent="0.3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5" thickBot="1" x14ac:dyDescent="0.3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5" thickBot="1" x14ac:dyDescent="0.3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5" thickBot="1" x14ac:dyDescent="0.3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5" thickBot="1" x14ac:dyDescent="0.3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5" thickBot="1" x14ac:dyDescent="0.3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5" thickBot="1" x14ac:dyDescent="0.3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5" thickBot="1" x14ac:dyDescent="0.3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5" thickBot="1" x14ac:dyDescent="0.3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5" thickBot="1" x14ac:dyDescent="0.3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5" thickBot="1" x14ac:dyDescent="0.3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5" thickBot="1" x14ac:dyDescent="0.3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5" thickBot="1" x14ac:dyDescent="0.3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5" thickBot="1" x14ac:dyDescent="0.3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5" thickBot="1" x14ac:dyDescent="0.3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5" thickBot="1" x14ac:dyDescent="0.3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5" thickBot="1" x14ac:dyDescent="0.3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5" thickBot="1" x14ac:dyDescent="0.3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5" thickBot="1" x14ac:dyDescent="0.3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5" thickBot="1" x14ac:dyDescent="0.3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5" thickBot="1" x14ac:dyDescent="0.3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5" thickBot="1" x14ac:dyDescent="0.3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5" thickBot="1" x14ac:dyDescent="0.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5" thickBot="1" x14ac:dyDescent="0.3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5" thickBot="1" x14ac:dyDescent="0.3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5" thickBot="1" x14ac:dyDescent="0.3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5" thickBot="1" x14ac:dyDescent="0.3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5" thickBot="1" x14ac:dyDescent="0.3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5" thickBot="1" x14ac:dyDescent="0.3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5" thickBot="1" x14ac:dyDescent="0.3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5" thickBot="1" x14ac:dyDescent="0.3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5" thickBot="1" x14ac:dyDescent="0.3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5" thickBot="1" x14ac:dyDescent="0.3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5" thickBot="1" x14ac:dyDescent="0.3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5" thickBot="1" x14ac:dyDescent="0.3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5" thickBot="1" x14ac:dyDescent="0.3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5" thickBot="1" x14ac:dyDescent="0.3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5" thickBot="1" x14ac:dyDescent="0.3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5" thickBot="1" x14ac:dyDescent="0.3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5" thickBot="1" x14ac:dyDescent="0.3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5" thickBot="1" x14ac:dyDescent="0.3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5" thickBot="1" x14ac:dyDescent="0.3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5" thickBot="1" x14ac:dyDescent="0.3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5" thickBot="1" x14ac:dyDescent="0.3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5" thickBot="1" x14ac:dyDescent="0.3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5" thickBot="1" x14ac:dyDescent="0.3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5" thickBot="1" x14ac:dyDescent="0.3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5" thickBot="1" x14ac:dyDescent="0.3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5" thickBot="1" x14ac:dyDescent="0.3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5" thickBot="1" x14ac:dyDescent="0.3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5" thickBot="1" x14ac:dyDescent="0.3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5" thickBot="1" x14ac:dyDescent="0.3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5" thickBot="1" x14ac:dyDescent="0.3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5" thickBot="1" x14ac:dyDescent="0.3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5" thickBot="1" x14ac:dyDescent="0.3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5" thickBot="1" x14ac:dyDescent="0.3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5" thickBot="1" x14ac:dyDescent="0.3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5" thickBot="1" x14ac:dyDescent="0.3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5" thickBot="1" x14ac:dyDescent="0.3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5" thickBot="1" x14ac:dyDescent="0.3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5" thickBot="1" x14ac:dyDescent="0.3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5" thickBot="1" x14ac:dyDescent="0.3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5" thickBot="1" x14ac:dyDescent="0.3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5" thickBot="1" x14ac:dyDescent="0.3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5" thickBot="1" x14ac:dyDescent="0.3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5" thickBot="1" x14ac:dyDescent="0.3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5" thickBot="1" x14ac:dyDescent="0.3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5" thickBot="1" x14ac:dyDescent="0.3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5" thickBot="1" x14ac:dyDescent="0.3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5" thickBot="1" x14ac:dyDescent="0.3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5" thickBot="1" x14ac:dyDescent="0.3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5" thickBot="1" x14ac:dyDescent="0.3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5" thickBot="1" x14ac:dyDescent="0.3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5" thickBot="1" x14ac:dyDescent="0.3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5" thickBot="1" x14ac:dyDescent="0.3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5" thickBot="1" x14ac:dyDescent="0.3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5" thickBot="1" x14ac:dyDescent="0.3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5" thickBot="1" x14ac:dyDescent="0.3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5" thickBot="1" x14ac:dyDescent="0.3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5" thickBot="1" x14ac:dyDescent="0.3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5" thickBot="1" x14ac:dyDescent="0.3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5" thickBot="1" x14ac:dyDescent="0.3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5" thickBot="1" x14ac:dyDescent="0.3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5" thickBot="1" x14ac:dyDescent="0.3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5" thickBot="1" x14ac:dyDescent="0.3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5" thickBot="1" x14ac:dyDescent="0.3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5" thickBot="1" x14ac:dyDescent="0.3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5" thickBot="1" x14ac:dyDescent="0.3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5" thickBot="1" x14ac:dyDescent="0.3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5" thickBot="1" x14ac:dyDescent="0.3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5" thickBot="1" x14ac:dyDescent="0.3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5" thickBot="1" x14ac:dyDescent="0.3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5" thickBot="1" x14ac:dyDescent="0.3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5" thickBot="1" x14ac:dyDescent="0.3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5" thickBot="1" x14ac:dyDescent="0.3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5" thickBot="1" x14ac:dyDescent="0.3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5" thickBot="1" x14ac:dyDescent="0.3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5" thickBot="1" x14ac:dyDescent="0.3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5" thickBot="1" x14ac:dyDescent="0.3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5" thickBot="1" x14ac:dyDescent="0.3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5" thickBot="1" x14ac:dyDescent="0.3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5" thickBot="1" x14ac:dyDescent="0.3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5" thickBot="1" x14ac:dyDescent="0.3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5" thickBot="1" x14ac:dyDescent="0.3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5" thickBot="1" x14ac:dyDescent="0.3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5" thickBot="1" x14ac:dyDescent="0.3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5" thickBot="1" x14ac:dyDescent="0.3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5" thickBot="1" x14ac:dyDescent="0.3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5" thickBot="1" x14ac:dyDescent="0.3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5" thickBot="1" x14ac:dyDescent="0.3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5" thickBot="1" x14ac:dyDescent="0.3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5" thickBot="1" x14ac:dyDescent="0.3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5" thickBot="1" x14ac:dyDescent="0.3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5" thickBot="1" x14ac:dyDescent="0.3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5" thickBot="1" x14ac:dyDescent="0.3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5" thickBot="1" x14ac:dyDescent="0.3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5" thickBot="1" x14ac:dyDescent="0.3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5" thickBot="1" x14ac:dyDescent="0.3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5" thickBot="1" x14ac:dyDescent="0.3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5" thickBot="1" x14ac:dyDescent="0.3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5" thickBot="1" x14ac:dyDescent="0.3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5" thickBot="1" x14ac:dyDescent="0.3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5" thickBot="1" x14ac:dyDescent="0.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5" thickBot="1" x14ac:dyDescent="0.3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5" thickBot="1" x14ac:dyDescent="0.3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5" thickBot="1" x14ac:dyDescent="0.3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5" thickBot="1" x14ac:dyDescent="0.3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5" thickBot="1" x14ac:dyDescent="0.3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5" thickBot="1" x14ac:dyDescent="0.3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5" thickBot="1" x14ac:dyDescent="0.3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5" thickBot="1" x14ac:dyDescent="0.3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5" thickBot="1" x14ac:dyDescent="0.3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5" thickBot="1" x14ac:dyDescent="0.3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5" thickBot="1" x14ac:dyDescent="0.3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5" thickBot="1" x14ac:dyDescent="0.3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5" thickBot="1" x14ac:dyDescent="0.3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5" thickBot="1" x14ac:dyDescent="0.3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5" thickBot="1" x14ac:dyDescent="0.3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5" thickBot="1" x14ac:dyDescent="0.3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5" thickBot="1" x14ac:dyDescent="0.3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5" thickBot="1" x14ac:dyDescent="0.3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5" thickBot="1" x14ac:dyDescent="0.3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5" thickBot="1" x14ac:dyDescent="0.3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5" thickBot="1" x14ac:dyDescent="0.3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5" thickBot="1" x14ac:dyDescent="0.3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5" thickBot="1" x14ac:dyDescent="0.3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5" thickBot="1" x14ac:dyDescent="0.3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5" thickBot="1" x14ac:dyDescent="0.3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5" thickBot="1" x14ac:dyDescent="0.3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5" thickBot="1" x14ac:dyDescent="0.3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5" thickBot="1" x14ac:dyDescent="0.3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5" thickBot="1" x14ac:dyDescent="0.3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5" thickBot="1" x14ac:dyDescent="0.3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5" thickBot="1" x14ac:dyDescent="0.3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5" thickBot="1" x14ac:dyDescent="0.3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5" thickBot="1" x14ac:dyDescent="0.3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5" thickBot="1" x14ac:dyDescent="0.3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5" thickBot="1" x14ac:dyDescent="0.3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5" thickBot="1" x14ac:dyDescent="0.3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5" thickBot="1" x14ac:dyDescent="0.3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5" thickBot="1" x14ac:dyDescent="0.3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5" thickBot="1" x14ac:dyDescent="0.3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5" thickBot="1" x14ac:dyDescent="0.3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5" thickBot="1" x14ac:dyDescent="0.3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5" thickBot="1" x14ac:dyDescent="0.3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5" thickBot="1" x14ac:dyDescent="0.3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5" thickBot="1" x14ac:dyDescent="0.3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5" thickBot="1" x14ac:dyDescent="0.3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5" thickBot="1" x14ac:dyDescent="0.3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5" thickBot="1" x14ac:dyDescent="0.3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5" thickBot="1" x14ac:dyDescent="0.3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5" thickBot="1" x14ac:dyDescent="0.3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5" thickBot="1" x14ac:dyDescent="0.3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5" thickBot="1" x14ac:dyDescent="0.3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5" thickBot="1" x14ac:dyDescent="0.3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5" thickBot="1" x14ac:dyDescent="0.3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5" thickBot="1" x14ac:dyDescent="0.3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5" thickBot="1" x14ac:dyDescent="0.3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5" thickBot="1" x14ac:dyDescent="0.3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5" thickBot="1" x14ac:dyDescent="0.3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5" thickBot="1" x14ac:dyDescent="0.3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5" thickBot="1" x14ac:dyDescent="0.3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5" thickBot="1" x14ac:dyDescent="0.3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5" thickBot="1" x14ac:dyDescent="0.3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5" thickBot="1" x14ac:dyDescent="0.3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5" thickBot="1" x14ac:dyDescent="0.3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5" thickBot="1" x14ac:dyDescent="0.3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5" thickBot="1" x14ac:dyDescent="0.3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5" thickBot="1" x14ac:dyDescent="0.3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5" thickBot="1" x14ac:dyDescent="0.3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5" thickBot="1" x14ac:dyDescent="0.3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5" thickBot="1" x14ac:dyDescent="0.3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5" thickBot="1" x14ac:dyDescent="0.3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5" thickBot="1" x14ac:dyDescent="0.3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5" thickBot="1" x14ac:dyDescent="0.3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5" thickBot="1" x14ac:dyDescent="0.3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5" thickBot="1" x14ac:dyDescent="0.3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5" thickBot="1" x14ac:dyDescent="0.3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5" thickBot="1" x14ac:dyDescent="0.3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5" thickBot="1" x14ac:dyDescent="0.3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5" thickBot="1" x14ac:dyDescent="0.3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5" thickBot="1" x14ac:dyDescent="0.3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5" thickBot="1" x14ac:dyDescent="0.3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5" thickBot="1" x14ac:dyDescent="0.3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5" thickBot="1" x14ac:dyDescent="0.3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5" thickBot="1" x14ac:dyDescent="0.3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5" thickBot="1" x14ac:dyDescent="0.3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5" thickBot="1" x14ac:dyDescent="0.3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5" thickBot="1" x14ac:dyDescent="0.3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5" thickBot="1" x14ac:dyDescent="0.3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5" thickBot="1" x14ac:dyDescent="0.3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5" thickBot="1" x14ac:dyDescent="0.3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5" thickBot="1" x14ac:dyDescent="0.3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5" thickBot="1" x14ac:dyDescent="0.3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5" thickBot="1" x14ac:dyDescent="0.3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5" thickBot="1" x14ac:dyDescent="0.3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5" thickBot="1" x14ac:dyDescent="0.3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5" thickBot="1" x14ac:dyDescent="0.3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5" thickBot="1" x14ac:dyDescent="0.3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5" thickBot="1" x14ac:dyDescent="0.3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5" thickBot="1" x14ac:dyDescent="0.3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5" thickBot="1" x14ac:dyDescent="0.3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5" thickBot="1" x14ac:dyDescent="0.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5" thickBot="1" x14ac:dyDescent="0.3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5" thickBot="1" x14ac:dyDescent="0.3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5" thickBot="1" x14ac:dyDescent="0.3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5" thickBot="1" x14ac:dyDescent="0.3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5" thickBot="1" x14ac:dyDescent="0.3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5" thickBot="1" x14ac:dyDescent="0.3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5" thickBot="1" x14ac:dyDescent="0.3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5" thickBot="1" x14ac:dyDescent="0.3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5" thickBot="1" x14ac:dyDescent="0.3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5" thickBot="1" x14ac:dyDescent="0.3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5" thickBot="1" x14ac:dyDescent="0.3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5" thickBot="1" x14ac:dyDescent="0.3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5" thickBot="1" x14ac:dyDescent="0.3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5" thickBot="1" x14ac:dyDescent="0.3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5" thickBot="1" x14ac:dyDescent="0.3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5" thickBot="1" x14ac:dyDescent="0.3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5" thickBot="1" x14ac:dyDescent="0.3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5" thickBot="1" x14ac:dyDescent="0.3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5" thickBot="1" x14ac:dyDescent="0.3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5" thickBot="1" x14ac:dyDescent="0.3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5" thickBot="1" x14ac:dyDescent="0.3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5" thickBot="1" x14ac:dyDescent="0.3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5" thickBot="1" x14ac:dyDescent="0.3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5" thickBot="1" x14ac:dyDescent="0.3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5" thickBot="1" x14ac:dyDescent="0.3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5" thickBot="1" x14ac:dyDescent="0.3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5" thickBot="1" x14ac:dyDescent="0.3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5" thickBot="1" x14ac:dyDescent="0.3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5" thickBot="1" x14ac:dyDescent="0.3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5" thickBot="1" x14ac:dyDescent="0.3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5" thickBot="1" x14ac:dyDescent="0.3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5" thickBot="1" x14ac:dyDescent="0.3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5" thickBot="1" x14ac:dyDescent="0.3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5" thickBot="1" x14ac:dyDescent="0.3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5" thickBot="1" x14ac:dyDescent="0.3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5" thickBot="1" x14ac:dyDescent="0.3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5" thickBot="1" x14ac:dyDescent="0.3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5" thickBot="1" x14ac:dyDescent="0.3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5" thickBot="1" x14ac:dyDescent="0.3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5" thickBot="1" x14ac:dyDescent="0.3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5" thickBot="1" x14ac:dyDescent="0.3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5" thickBot="1" x14ac:dyDescent="0.3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5" thickBot="1" x14ac:dyDescent="0.3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5" thickBot="1" x14ac:dyDescent="0.3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5" thickBot="1" x14ac:dyDescent="0.3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5" thickBot="1" x14ac:dyDescent="0.3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5" thickBot="1" x14ac:dyDescent="0.3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5" thickBot="1" x14ac:dyDescent="0.3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5" thickBot="1" x14ac:dyDescent="0.3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5" thickBot="1" x14ac:dyDescent="0.3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5" thickBot="1" x14ac:dyDescent="0.3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5" thickBot="1" x14ac:dyDescent="0.3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5" thickBot="1" x14ac:dyDescent="0.3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5" thickBot="1" x14ac:dyDescent="0.3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5" thickBot="1" x14ac:dyDescent="0.3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5" thickBot="1" x14ac:dyDescent="0.3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5" thickBot="1" x14ac:dyDescent="0.3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5" thickBot="1" x14ac:dyDescent="0.3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5" thickBot="1" x14ac:dyDescent="0.3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5" thickBot="1" x14ac:dyDescent="0.3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5" thickBot="1" x14ac:dyDescent="0.3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5" thickBot="1" x14ac:dyDescent="0.3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5" thickBot="1" x14ac:dyDescent="0.3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5" thickBot="1" x14ac:dyDescent="0.3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5" thickBot="1" x14ac:dyDescent="0.3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5" thickBot="1" x14ac:dyDescent="0.3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5" thickBot="1" x14ac:dyDescent="0.3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5" thickBot="1" x14ac:dyDescent="0.3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5" thickBot="1" x14ac:dyDescent="0.3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5" thickBot="1" x14ac:dyDescent="0.3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5" thickBot="1" x14ac:dyDescent="0.3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5" thickBot="1" x14ac:dyDescent="0.3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5" thickBot="1" x14ac:dyDescent="0.3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5" thickBot="1" x14ac:dyDescent="0.3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5" thickBot="1" x14ac:dyDescent="0.3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5" thickBot="1" x14ac:dyDescent="0.3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5" thickBot="1" x14ac:dyDescent="0.3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5" thickBot="1" x14ac:dyDescent="0.3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5" thickBot="1" x14ac:dyDescent="0.3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5" thickBot="1" x14ac:dyDescent="0.3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5" thickBot="1" x14ac:dyDescent="0.3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5" thickBot="1" x14ac:dyDescent="0.3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5" thickBot="1" x14ac:dyDescent="0.3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5" thickBot="1" x14ac:dyDescent="0.3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5" thickBot="1" x14ac:dyDescent="0.3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5" thickBot="1" x14ac:dyDescent="0.3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5" thickBot="1" x14ac:dyDescent="0.3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5" thickBot="1" x14ac:dyDescent="0.3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5" thickBot="1" x14ac:dyDescent="0.3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5" thickBot="1" x14ac:dyDescent="0.3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5" thickBot="1" x14ac:dyDescent="0.3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5" thickBot="1" x14ac:dyDescent="0.3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5" thickBot="1" x14ac:dyDescent="0.3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5" thickBot="1" x14ac:dyDescent="0.3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5" thickBot="1" x14ac:dyDescent="0.3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5" thickBot="1" x14ac:dyDescent="0.3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5" thickBot="1" x14ac:dyDescent="0.3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5" thickBot="1" x14ac:dyDescent="0.3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5" thickBot="1" x14ac:dyDescent="0.3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5" thickBot="1" x14ac:dyDescent="0.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5" thickBot="1" x14ac:dyDescent="0.3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5" thickBot="1" x14ac:dyDescent="0.3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5" thickBot="1" x14ac:dyDescent="0.3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5" thickBot="1" x14ac:dyDescent="0.3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5" thickBot="1" x14ac:dyDescent="0.3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5" thickBot="1" x14ac:dyDescent="0.3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5" thickBot="1" x14ac:dyDescent="0.3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5" thickBot="1" x14ac:dyDescent="0.3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5" thickBot="1" x14ac:dyDescent="0.3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5" thickBot="1" x14ac:dyDescent="0.3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5" thickBot="1" x14ac:dyDescent="0.3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5" thickBot="1" x14ac:dyDescent="0.3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5" thickBot="1" x14ac:dyDescent="0.3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5" thickBot="1" x14ac:dyDescent="0.3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5" thickBot="1" x14ac:dyDescent="0.3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5" thickBot="1" x14ac:dyDescent="0.3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5" thickBot="1" x14ac:dyDescent="0.3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5" thickBot="1" x14ac:dyDescent="0.3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5" thickBot="1" x14ac:dyDescent="0.3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5" thickBot="1" x14ac:dyDescent="0.3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5" thickBot="1" x14ac:dyDescent="0.3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5" thickBot="1" x14ac:dyDescent="0.3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5" thickBot="1" x14ac:dyDescent="0.3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5" thickBot="1" x14ac:dyDescent="0.3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5" thickBot="1" x14ac:dyDescent="0.3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5" thickBot="1" x14ac:dyDescent="0.3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5" thickBot="1" x14ac:dyDescent="0.3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5" thickBot="1" x14ac:dyDescent="0.3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5" thickBot="1" x14ac:dyDescent="0.3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5" thickBot="1" x14ac:dyDescent="0.3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5" thickBot="1" x14ac:dyDescent="0.3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5" thickBot="1" x14ac:dyDescent="0.3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5" thickBot="1" x14ac:dyDescent="0.3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5" thickBot="1" x14ac:dyDescent="0.3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5" thickBot="1" x14ac:dyDescent="0.3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5" thickBot="1" x14ac:dyDescent="0.3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5" thickBot="1" x14ac:dyDescent="0.3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5" thickBot="1" x14ac:dyDescent="0.3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5" thickBot="1" x14ac:dyDescent="0.3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5" thickBot="1" x14ac:dyDescent="0.3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5" thickBot="1" x14ac:dyDescent="0.3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5" thickBot="1" x14ac:dyDescent="0.3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5" thickBot="1" x14ac:dyDescent="0.3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5" thickBot="1" x14ac:dyDescent="0.3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5" thickBot="1" x14ac:dyDescent="0.3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5" thickBot="1" x14ac:dyDescent="0.3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5" thickBot="1" x14ac:dyDescent="0.3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5" thickBot="1" x14ac:dyDescent="0.3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5" thickBot="1" x14ac:dyDescent="0.3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5" thickBot="1" x14ac:dyDescent="0.3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5" thickBot="1" x14ac:dyDescent="0.3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5" thickBot="1" x14ac:dyDescent="0.3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5" thickBot="1" x14ac:dyDescent="0.3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5" thickBot="1" x14ac:dyDescent="0.3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5" thickBot="1" x14ac:dyDescent="0.3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5" thickBot="1" x14ac:dyDescent="0.3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5" thickBot="1" x14ac:dyDescent="0.3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5" thickBot="1" x14ac:dyDescent="0.3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5" thickBot="1" x14ac:dyDescent="0.3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5" thickBot="1" x14ac:dyDescent="0.3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5" thickBot="1" x14ac:dyDescent="0.3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5" thickBot="1" x14ac:dyDescent="0.3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5" thickBot="1" x14ac:dyDescent="0.3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5" thickBot="1" x14ac:dyDescent="0.3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5" thickBot="1" x14ac:dyDescent="0.3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5" thickBot="1" x14ac:dyDescent="0.3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5" thickBot="1" x14ac:dyDescent="0.3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5" thickBot="1" x14ac:dyDescent="0.3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5" thickBot="1" x14ac:dyDescent="0.3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5" thickBot="1" x14ac:dyDescent="0.3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5" thickBot="1" x14ac:dyDescent="0.3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5" thickBot="1" x14ac:dyDescent="0.3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5" thickBot="1" x14ac:dyDescent="0.3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5" thickBot="1" x14ac:dyDescent="0.3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5" thickBot="1" x14ac:dyDescent="0.3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5" thickBot="1" x14ac:dyDescent="0.3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5" thickBot="1" x14ac:dyDescent="0.3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5" thickBot="1" x14ac:dyDescent="0.3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5" thickBot="1" x14ac:dyDescent="0.3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5" thickBot="1" x14ac:dyDescent="0.3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5" thickBot="1" x14ac:dyDescent="0.3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5" thickBot="1" x14ac:dyDescent="0.3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5" thickBot="1" x14ac:dyDescent="0.3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5" thickBot="1" x14ac:dyDescent="0.3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5" thickBot="1" x14ac:dyDescent="0.3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5" thickBot="1" x14ac:dyDescent="0.3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5" thickBot="1" x14ac:dyDescent="0.3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5" thickBot="1" x14ac:dyDescent="0.3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5" thickBot="1" x14ac:dyDescent="0.3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5" thickBot="1" x14ac:dyDescent="0.3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5" thickBot="1" x14ac:dyDescent="0.3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5" thickBot="1" x14ac:dyDescent="0.3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5" thickBot="1" x14ac:dyDescent="0.3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5" thickBot="1" x14ac:dyDescent="0.3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5" thickBot="1" x14ac:dyDescent="0.3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5" thickBot="1" x14ac:dyDescent="0.3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5" thickBot="1" x14ac:dyDescent="0.3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5" thickBot="1" x14ac:dyDescent="0.3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5" thickBot="1" x14ac:dyDescent="0.3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5" thickBot="1" x14ac:dyDescent="0.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5" thickBot="1" x14ac:dyDescent="0.3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5" thickBot="1" x14ac:dyDescent="0.3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5" thickBot="1" x14ac:dyDescent="0.3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5" thickBot="1" x14ac:dyDescent="0.3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5" thickBot="1" x14ac:dyDescent="0.3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5" thickBot="1" x14ac:dyDescent="0.3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5" thickBot="1" x14ac:dyDescent="0.3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5" thickBot="1" x14ac:dyDescent="0.3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5" thickBot="1" x14ac:dyDescent="0.3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5" thickBot="1" x14ac:dyDescent="0.3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5" thickBot="1" x14ac:dyDescent="0.3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5" thickBot="1" x14ac:dyDescent="0.3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5" thickBot="1" x14ac:dyDescent="0.3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5" thickBot="1" x14ac:dyDescent="0.3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5" thickBot="1" x14ac:dyDescent="0.3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5" thickBot="1" x14ac:dyDescent="0.3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5" thickBot="1" x14ac:dyDescent="0.3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5" thickBot="1" x14ac:dyDescent="0.3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5" thickBot="1" x14ac:dyDescent="0.3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5" thickBot="1" x14ac:dyDescent="0.3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5" thickBot="1" x14ac:dyDescent="0.3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5" thickBot="1" x14ac:dyDescent="0.3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5" thickBot="1" x14ac:dyDescent="0.3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5" thickBot="1" x14ac:dyDescent="0.3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5" thickBot="1" x14ac:dyDescent="0.3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5" thickBot="1" x14ac:dyDescent="0.3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5" thickBot="1" x14ac:dyDescent="0.3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5" thickBot="1" x14ac:dyDescent="0.3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5" thickBot="1" x14ac:dyDescent="0.3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5" thickBot="1" x14ac:dyDescent="0.3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5" thickBot="1" x14ac:dyDescent="0.3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5" thickBot="1" x14ac:dyDescent="0.3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5" thickBot="1" x14ac:dyDescent="0.3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5" thickBot="1" x14ac:dyDescent="0.3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5" thickBot="1" x14ac:dyDescent="0.3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5" thickBot="1" x14ac:dyDescent="0.3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5" thickBot="1" x14ac:dyDescent="0.3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5" thickBot="1" x14ac:dyDescent="0.3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5" thickBot="1" x14ac:dyDescent="0.3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5" thickBot="1" x14ac:dyDescent="0.3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5" thickBot="1" x14ac:dyDescent="0.3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5" thickBot="1" x14ac:dyDescent="0.3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5" thickBot="1" x14ac:dyDescent="0.3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5" thickBot="1" x14ac:dyDescent="0.3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5" thickBot="1" x14ac:dyDescent="0.3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5" thickBot="1" x14ac:dyDescent="0.3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5" thickBot="1" x14ac:dyDescent="0.3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5" thickBot="1" x14ac:dyDescent="0.3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5" thickBot="1" x14ac:dyDescent="0.3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5" thickBot="1" x14ac:dyDescent="0.3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5" thickBot="1" x14ac:dyDescent="0.3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5" thickBot="1" x14ac:dyDescent="0.3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5" thickBot="1" x14ac:dyDescent="0.3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5" thickBot="1" x14ac:dyDescent="0.3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5" thickBot="1" x14ac:dyDescent="0.3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5" thickBot="1" x14ac:dyDescent="0.3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5" thickBot="1" x14ac:dyDescent="0.3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5" thickBot="1" x14ac:dyDescent="0.3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5" thickBot="1" x14ac:dyDescent="0.3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5" thickBot="1" x14ac:dyDescent="0.3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5" thickBot="1" x14ac:dyDescent="0.3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5" thickBot="1" x14ac:dyDescent="0.3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5" thickBot="1" x14ac:dyDescent="0.3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5" thickBot="1" x14ac:dyDescent="0.3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5" thickBot="1" x14ac:dyDescent="0.3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5" thickBot="1" x14ac:dyDescent="0.3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5" thickBot="1" x14ac:dyDescent="0.3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5" thickBot="1" x14ac:dyDescent="0.3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5" thickBot="1" x14ac:dyDescent="0.3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5" thickBot="1" x14ac:dyDescent="0.3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5" thickBot="1" x14ac:dyDescent="0.3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5" thickBot="1" x14ac:dyDescent="0.3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5" thickBot="1" x14ac:dyDescent="0.3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5" thickBot="1" x14ac:dyDescent="0.3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5" thickBot="1" x14ac:dyDescent="0.3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5" thickBot="1" x14ac:dyDescent="0.3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5" thickBot="1" x14ac:dyDescent="0.3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5" thickBot="1" x14ac:dyDescent="0.3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5" thickBot="1" x14ac:dyDescent="0.3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5" thickBot="1" x14ac:dyDescent="0.3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5" thickBot="1" x14ac:dyDescent="0.3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5" thickBot="1" x14ac:dyDescent="0.3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5" thickBot="1" x14ac:dyDescent="0.3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5" thickBot="1" x14ac:dyDescent="0.3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5" thickBot="1" x14ac:dyDescent="0.3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5" thickBot="1" x14ac:dyDescent="0.3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5" thickBot="1" x14ac:dyDescent="0.3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5" thickBot="1" x14ac:dyDescent="0.3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5" thickBot="1" x14ac:dyDescent="0.3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5" thickBot="1" x14ac:dyDescent="0.3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5" thickBot="1" x14ac:dyDescent="0.3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5" thickBot="1" x14ac:dyDescent="0.3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5" thickBot="1" x14ac:dyDescent="0.3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5" thickBot="1" x14ac:dyDescent="0.3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5" thickBot="1" x14ac:dyDescent="0.3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5" thickBot="1" x14ac:dyDescent="0.3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5" thickBot="1" x14ac:dyDescent="0.3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5" thickBot="1" x14ac:dyDescent="0.3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5" thickBot="1" x14ac:dyDescent="0.3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5" thickBot="1" x14ac:dyDescent="0.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5" thickBot="1" x14ac:dyDescent="0.3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5" thickBot="1" x14ac:dyDescent="0.3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5" thickBot="1" x14ac:dyDescent="0.3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5" thickBot="1" x14ac:dyDescent="0.3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5" thickBot="1" x14ac:dyDescent="0.3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5" thickBot="1" x14ac:dyDescent="0.3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5" thickBot="1" x14ac:dyDescent="0.3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5" thickBot="1" x14ac:dyDescent="0.3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5" thickBot="1" x14ac:dyDescent="0.3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5" thickBot="1" x14ac:dyDescent="0.3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5" thickBot="1" x14ac:dyDescent="0.3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5" thickBot="1" x14ac:dyDescent="0.3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5" thickBot="1" x14ac:dyDescent="0.3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5" thickBot="1" x14ac:dyDescent="0.3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5" thickBot="1" x14ac:dyDescent="0.3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5" thickBot="1" x14ac:dyDescent="0.3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5" thickBot="1" x14ac:dyDescent="0.3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5" thickBot="1" x14ac:dyDescent="0.3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5" thickBot="1" x14ac:dyDescent="0.3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5" thickBot="1" x14ac:dyDescent="0.3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5" thickBot="1" x14ac:dyDescent="0.3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5" thickBot="1" x14ac:dyDescent="0.3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5" thickBot="1" x14ac:dyDescent="0.3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5" thickBot="1" x14ac:dyDescent="0.3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5" thickBot="1" x14ac:dyDescent="0.3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5" thickBot="1" x14ac:dyDescent="0.3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5" thickBot="1" x14ac:dyDescent="0.3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5" thickBot="1" x14ac:dyDescent="0.3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5" thickBot="1" x14ac:dyDescent="0.3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5" thickBot="1" x14ac:dyDescent="0.3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5" thickBot="1" x14ac:dyDescent="0.3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5" thickBot="1" x14ac:dyDescent="0.3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5" thickBot="1" x14ac:dyDescent="0.3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5" thickBot="1" x14ac:dyDescent="0.3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5" thickBot="1" x14ac:dyDescent="0.3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5" thickBot="1" x14ac:dyDescent="0.3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5" thickBot="1" x14ac:dyDescent="0.3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5" thickBot="1" x14ac:dyDescent="0.3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5" thickBot="1" x14ac:dyDescent="0.3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5" thickBot="1" x14ac:dyDescent="0.3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5" thickBot="1" x14ac:dyDescent="0.3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5" thickBot="1" x14ac:dyDescent="0.3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5" thickBot="1" x14ac:dyDescent="0.3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5" thickBot="1" x14ac:dyDescent="0.3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5" thickBot="1" x14ac:dyDescent="0.3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5" thickBot="1" x14ac:dyDescent="0.3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5" thickBot="1" x14ac:dyDescent="0.3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5" thickBot="1" x14ac:dyDescent="0.3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5" thickBot="1" x14ac:dyDescent="0.3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5" thickBot="1" x14ac:dyDescent="0.3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5" thickBot="1" x14ac:dyDescent="0.3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5" thickBot="1" x14ac:dyDescent="0.3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5" thickBot="1" x14ac:dyDescent="0.3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5" thickBot="1" x14ac:dyDescent="0.3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5" thickBot="1" x14ac:dyDescent="0.3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5" thickBot="1" x14ac:dyDescent="0.3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5" thickBot="1" x14ac:dyDescent="0.3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5" thickBot="1" x14ac:dyDescent="0.3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5" thickBot="1" x14ac:dyDescent="0.3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5" thickBot="1" x14ac:dyDescent="0.3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5" thickBot="1" x14ac:dyDescent="0.3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5" thickBot="1" x14ac:dyDescent="0.3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5" thickBot="1" x14ac:dyDescent="0.3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5" thickBot="1" x14ac:dyDescent="0.3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5" thickBot="1" x14ac:dyDescent="0.3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5" thickBot="1" x14ac:dyDescent="0.3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5" thickBot="1" x14ac:dyDescent="0.3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5" thickBot="1" x14ac:dyDescent="0.3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5" thickBot="1" x14ac:dyDescent="0.3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5" thickBot="1" x14ac:dyDescent="0.3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5" thickBot="1" x14ac:dyDescent="0.3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5" thickBot="1" x14ac:dyDescent="0.3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5" thickBot="1" x14ac:dyDescent="0.3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5" thickBot="1" x14ac:dyDescent="0.3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5" thickBot="1" x14ac:dyDescent="0.3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5" thickBot="1" x14ac:dyDescent="0.3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5" thickBot="1" x14ac:dyDescent="0.3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5" thickBot="1" x14ac:dyDescent="0.3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5" thickBot="1" x14ac:dyDescent="0.3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5" thickBot="1" x14ac:dyDescent="0.3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5" thickBot="1" x14ac:dyDescent="0.3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5" thickBot="1" x14ac:dyDescent="0.3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5" thickBot="1" x14ac:dyDescent="0.3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5" thickBot="1" x14ac:dyDescent="0.3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5" thickBot="1" x14ac:dyDescent="0.3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5" thickBot="1" x14ac:dyDescent="0.3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5" thickBot="1" x14ac:dyDescent="0.3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5" thickBot="1" x14ac:dyDescent="0.3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5" thickBot="1" x14ac:dyDescent="0.3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5" thickBot="1" x14ac:dyDescent="0.3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5" thickBot="1" x14ac:dyDescent="0.3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5" thickBot="1" x14ac:dyDescent="0.3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5" thickBot="1" x14ac:dyDescent="0.3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5" thickBot="1" x14ac:dyDescent="0.3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5" thickBot="1" x14ac:dyDescent="0.3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5" thickBot="1" x14ac:dyDescent="0.3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5" thickBot="1" x14ac:dyDescent="0.3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5" thickBot="1" x14ac:dyDescent="0.3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5" thickBot="1" x14ac:dyDescent="0.3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5" thickBot="1" x14ac:dyDescent="0.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5" thickBot="1" x14ac:dyDescent="0.3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5" thickBot="1" x14ac:dyDescent="0.3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5" thickBot="1" x14ac:dyDescent="0.3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5" thickBot="1" x14ac:dyDescent="0.3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5" thickBot="1" x14ac:dyDescent="0.3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5" thickBot="1" x14ac:dyDescent="0.3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5" thickBot="1" x14ac:dyDescent="0.3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5" thickBot="1" x14ac:dyDescent="0.3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5" thickBot="1" x14ac:dyDescent="0.3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5" thickBot="1" x14ac:dyDescent="0.3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5" thickBot="1" x14ac:dyDescent="0.3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5" thickBot="1" x14ac:dyDescent="0.3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5" thickBot="1" x14ac:dyDescent="0.3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5" thickBot="1" x14ac:dyDescent="0.3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5" thickBot="1" x14ac:dyDescent="0.3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5" thickBot="1" x14ac:dyDescent="0.3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5" thickBot="1" x14ac:dyDescent="0.3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5" thickBot="1" x14ac:dyDescent="0.3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5" thickBot="1" x14ac:dyDescent="0.3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5" thickBot="1" x14ac:dyDescent="0.3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5" thickBot="1" x14ac:dyDescent="0.3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5" thickBot="1" x14ac:dyDescent="0.3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5" thickBot="1" x14ac:dyDescent="0.3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5" thickBot="1" x14ac:dyDescent="0.3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5" thickBot="1" x14ac:dyDescent="0.3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5" thickBot="1" x14ac:dyDescent="0.3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5" thickBot="1" x14ac:dyDescent="0.3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5" thickBot="1" x14ac:dyDescent="0.3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5" thickBot="1" x14ac:dyDescent="0.3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5" thickBot="1" x14ac:dyDescent="0.3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5" thickBot="1" x14ac:dyDescent="0.3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5" thickBot="1" x14ac:dyDescent="0.3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5" thickBot="1" x14ac:dyDescent="0.3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5" thickBot="1" x14ac:dyDescent="0.3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5" thickBot="1" x14ac:dyDescent="0.3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5" thickBot="1" x14ac:dyDescent="0.3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5" thickBot="1" x14ac:dyDescent="0.3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5" thickBot="1" x14ac:dyDescent="0.3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5" thickBot="1" x14ac:dyDescent="0.3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5" thickBot="1" x14ac:dyDescent="0.3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5" thickBot="1" x14ac:dyDescent="0.3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5" thickBot="1" x14ac:dyDescent="0.3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5" thickBot="1" x14ac:dyDescent="0.3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5" thickBot="1" x14ac:dyDescent="0.3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5" thickBot="1" x14ac:dyDescent="0.3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5" thickBot="1" x14ac:dyDescent="0.3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5" thickBot="1" x14ac:dyDescent="0.3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5" thickBot="1" x14ac:dyDescent="0.3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5" thickBot="1" x14ac:dyDescent="0.3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5" thickBot="1" x14ac:dyDescent="0.3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5" thickBot="1" x14ac:dyDescent="0.3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5" thickBot="1" x14ac:dyDescent="0.3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5" thickBot="1" x14ac:dyDescent="0.3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5" thickBot="1" x14ac:dyDescent="0.3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5" thickBot="1" x14ac:dyDescent="0.3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5" thickBot="1" x14ac:dyDescent="0.3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5" thickBot="1" x14ac:dyDescent="0.3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5" thickBot="1" x14ac:dyDescent="0.3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5" thickBot="1" x14ac:dyDescent="0.3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5" thickBot="1" x14ac:dyDescent="0.3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5" thickBot="1" x14ac:dyDescent="0.3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5" thickBot="1" x14ac:dyDescent="0.3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5" thickBot="1" x14ac:dyDescent="0.3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5" thickBot="1" x14ac:dyDescent="0.3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5" thickBot="1" x14ac:dyDescent="0.3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5" thickBot="1" x14ac:dyDescent="0.3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5" thickBot="1" x14ac:dyDescent="0.3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5" thickBot="1" x14ac:dyDescent="0.3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5" thickBot="1" x14ac:dyDescent="0.3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5" thickBot="1" x14ac:dyDescent="0.3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5" thickBot="1" x14ac:dyDescent="0.3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5" thickBot="1" x14ac:dyDescent="0.3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5" thickBot="1" x14ac:dyDescent="0.3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5" thickBot="1" x14ac:dyDescent="0.3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5" thickBot="1" x14ac:dyDescent="0.3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5" thickBot="1" x14ac:dyDescent="0.3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5" thickBot="1" x14ac:dyDescent="0.3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5" thickBot="1" x14ac:dyDescent="0.3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5" thickBot="1" x14ac:dyDescent="0.3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5" thickBot="1" x14ac:dyDescent="0.3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5" thickBot="1" x14ac:dyDescent="0.3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5" thickBot="1" x14ac:dyDescent="0.3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5" thickBot="1" x14ac:dyDescent="0.3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5" thickBot="1" x14ac:dyDescent="0.3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5" thickBot="1" x14ac:dyDescent="0.3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5" thickBot="1" x14ac:dyDescent="0.3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5" thickBot="1" x14ac:dyDescent="0.3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5" thickBot="1" x14ac:dyDescent="0.3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5" thickBot="1" x14ac:dyDescent="0.3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5" thickBot="1" x14ac:dyDescent="0.3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5" thickBot="1" x14ac:dyDescent="0.3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5" thickBot="1" x14ac:dyDescent="0.3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5" thickBot="1" x14ac:dyDescent="0.3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5" thickBot="1" x14ac:dyDescent="0.3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5" thickBot="1" x14ac:dyDescent="0.3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5" thickBot="1" x14ac:dyDescent="0.3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5" thickBot="1" x14ac:dyDescent="0.3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5" thickBot="1" x14ac:dyDescent="0.3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5" thickBot="1" x14ac:dyDescent="0.3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5" thickBot="1" x14ac:dyDescent="0.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5" thickBot="1" x14ac:dyDescent="0.3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5" thickBot="1" x14ac:dyDescent="0.3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5" thickBot="1" x14ac:dyDescent="0.3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5" thickBot="1" x14ac:dyDescent="0.3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5" thickBot="1" x14ac:dyDescent="0.3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5" thickBot="1" x14ac:dyDescent="0.3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5" thickBot="1" x14ac:dyDescent="0.3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5" thickBot="1" x14ac:dyDescent="0.3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5" thickBot="1" x14ac:dyDescent="0.3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5" thickBot="1" x14ac:dyDescent="0.3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5" thickBot="1" x14ac:dyDescent="0.3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5" thickBot="1" x14ac:dyDescent="0.3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5" thickBot="1" x14ac:dyDescent="0.3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5" thickBot="1" x14ac:dyDescent="0.3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5" thickBot="1" x14ac:dyDescent="0.3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5" thickBot="1" x14ac:dyDescent="0.3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5" thickBot="1" x14ac:dyDescent="0.3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5" thickBot="1" x14ac:dyDescent="0.3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5" thickBot="1" x14ac:dyDescent="0.3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5" thickBot="1" x14ac:dyDescent="0.3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5" thickBot="1" x14ac:dyDescent="0.3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5" thickBot="1" x14ac:dyDescent="0.3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5" thickBot="1" x14ac:dyDescent="0.3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5" thickBot="1" x14ac:dyDescent="0.3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5" thickBot="1" x14ac:dyDescent="0.3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5" thickBot="1" x14ac:dyDescent="0.3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5" thickBot="1" x14ac:dyDescent="0.3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5" thickBot="1" x14ac:dyDescent="0.3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5" thickBot="1" x14ac:dyDescent="0.3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5" thickBot="1" x14ac:dyDescent="0.3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5" thickBot="1" x14ac:dyDescent="0.3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5" thickBot="1" x14ac:dyDescent="0.3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5" thickBot="1" x14ac:dyDescent="0.3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5" thickBot="1" x14ac:dyDescent="0.3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5" thickBot="1" x14ac:dyDescent="0.3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5" thickBot="1" x14ac:dyDescent="0.3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5" thickBot="1" x14ac:dyDescent="0.3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5" thickBot="1" x14ac:dyDescent="0.3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5" thickBot="1" x14ac:dyDescent="0.3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5" thickBot="1" x14ac:dyDescent="0.3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5" thickBot="1" x14ac:dyDescent="0.3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5" thickBot="1" x14ac:dyDescent="0.3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5" thickBot="1" x14ac:dyDescent="0.3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5" thickBot="1" x14ac:dyDescent="0.3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5" thickBot="1" x14ac:dyDescent="0.3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5" thickBot="1" x14ac:dyDescent="0.3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5" thickBot="1" x14ac:dyDescent="0.3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5" thickBot="1" x14ac:dyDescent="0.3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5" thickBot="1" x14ac:dyDescent="0.3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5" thickBot="1" x14ac:dyDescent="0.3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5" thickBot="1" x14ac:dyDescent="0.3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5" thickBot="1" x14ac:dyDescent="0.3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5" thickBot="1" x14ac:dyDescent="0.3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5" thickBot="1" x14ac:dyDescent="0.3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5" thickBot="1" x14ac:dyDescent="0.3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5" thickBot="1" x14ac:dyDescent="0.3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5" thickBot="1" x14ac:dyDescent="0.3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5" thickBot="1" x14ac:dyDescent="0.3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5" thickBot="1" x14ac:dyDescent="0.3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5" thickBot="1" x14ac:dyDescent="0.3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5" thickBot="1" x14ac:dyDescent="0.3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5" thickBot="1" x14ac:dyDescent="0.3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5" thickBot="1" x14ac:dyDescent="0.3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5" thickBot="1" x14ac:dyDescent="0.3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5" thickBot="1" x14ac:dyDescent="0.3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5" thickBot="1" x14ac:dyDescent="0.3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5" thickBot="1" x14ac:dyDescent="0.3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5" thickBot="1" x14ac:dyDescent="0.3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5" thickBot="1" x14ac:dyDescent="0.3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5" thickBot="1" x14ac:dyDescent="0.3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5" thickBot="1" x14ac:dyDescent="0.3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5" thickBot="1" x14ac:dyDescent="0.3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5" thickBot="1" x14ac:dyDescent="0.3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5" thickBot="1" x14ac:dyDescent="0.3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5" thickBot="1" x14ac:dyDescent="0.3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5" thickBot="1" x14ac:dyDescent="0.3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5" thickBot="1" x14ac:dyDescent="0.3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5" thickBot="1" x14ac:dyDescent="0.3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5" thickBot="1" x14ac:dyDescent="0.3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5" thickBot="1" x14ac:dyDescent="0.3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5" thickBot="1" x14ac:dyDescent="0.3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5" thickBot="1" x14ac:dyDescent="0.3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5" thickBot="1" x14ac:dyDescent="0.3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5" thickBot="1" x14ac:dyDescent="0.3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5" thickBot="1" x14ac:dyDescent="0.3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5" thickBot="1" x14ac:dyDescent="0.3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5" thickBot="1" x14ac:dyDescent="0.3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5" thickBot="1" x14ac:dyDescent="0.3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5" thickBot="1" x14ac:dyDescent="0.3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5" thickBot="1" x14ac:dyDescent="0.3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5" thickBot="1" x14ac:dyDescent="0.3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5" thickBot="1" x14ac:dyDescent="0.3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5" thickBot="1" x14ac:dyDescent="0.3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5" thickBot="1" x14ac:dyDescent="0.3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5" thickBot="1" x14ac:dyDescent="0.3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5" thickBot="1" x14ac:dyDescent="0.3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5" thickBot="1" x14ac:dyDescent="0.3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5" thickBot="1" x14ac:dyDescent="0.3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5" thickBot="1" x14ac:dyDescent="0.3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5" thickBot="1" x14ac:dyDescent="0.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5" thickBot="1" x14ac:dyDescent="0.3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5" thickBot="1" x14ac:dyDescent="0.3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5" thickBot="1" x14ac:dyDescent="0.3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5" thickBot="1" x14ac:dyDescent="0.3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5" thickBot="1" x14ac:dyDescent="0.3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5" thickBot="1" x14ac:dyDescent="0.3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5" thickBot="1" x14ac:dyDescent="0.3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5" thickBot="1" x14ac:dyDescent="0.3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5" thickBot="1" x14ac:dyDescent="0.3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5" thickBot="1" x14ac:dyDescent="0.3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5" thickBot="1" x14ac:dyDescent="0.3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5" thickBot="1" x14ac:dyDescent="0.3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5" thickBot="1" x14ac:dyDescent="0.3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5" thickBot="1" x14ac:dyDescent="0.3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5" thickBot="1" x14ac:dyDescent="0.3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5" thickBot="1" x14ac:dyDescent="0.3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5" thickBot="1" x14ac:dyDescent="0.3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5" thickBot="1" x14ac:dyDescent="0.3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5" thickBot="1" x14ac:dyDescent="0.3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5" thickBot="1" x14ac:dyDescent="0.3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5" thickBot="1" x14ac:dyDescent="0.3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5" thickBot="1" x14ac:dyDescent="0.3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5" thickBot="1" x14ac:dyDescent="0.3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5" thickBot="1" x14ac:dyDescent="0.3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5" thickBot="1" x14ac:dyDescent="0.3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5" thickBot="1" x14ac:dyDescent="0.3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5" thickBot="1" x14ac:dyDescent="0.3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5" thickBot="1" x14ac:dyDescent="0.3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5" thickBot="1" x14ac:dyDescent="0.3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5" thickBot="1" x14ac:dyDescent="0.3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5" thickBot="1" x14ac:dyDescent="0.3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5" thickBot="1" x14ac:dyDescent="0.3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5" thickBot="1" x14ac:dyDescent="0.3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5" thickBot="1" x14ac:dyDescent="0.3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5" thickBot="1" x14ac:dyDescent="0.3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5" thickBot="1" x14ac:dyDescent="0.3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5" thickBot="1" x14ac:dyDescent="0.3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5" thickBot="1" x14ac:dyDescent="0.3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5" thickBot="1" x14ac:dyDescent="0.3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5" thickBot="1" x14ac:dyDescent="0.3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5" thickBot="1" x14ac:dyDescent="0.3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5" thickBot="1" x14ac:dyDescent="0.3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5" thickBot="1" x14ac:dyDescent="0.3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5" thickBot="1" x14ac:dyDescent="0.3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</sheetData>
  <mergeCells count="1">
    <mergeCell ref="F1:Z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A783-AF33-4FA6-972C-D373CA09B14F}">
  <dimension ref="A2:D91"/>
  <sheetViews>
    <sheetView tabSelected="1" workbookViewId="0">
      <selection activeCell="I14" sqref="I14"/>
    </sheetView>
  </sheetViews>
  <sheetFormatPr defaultRowHeight="14.4" x14ac:dyDescent="0.3"/>
  <cols>
    <col min="1" max="1" width="40.88671875" bestFit="1" customWidth="1"/>
    <col min="2" max="2" width="8.88671875" bestFit="1" customWidth="1"/>
    <col min="3" max="3" width="8.77734375" bestFit="1" customWidth="1"/>
    <col min="4" max="4" width="13.88671875" bestFit="1" customWidth="1"/>
    <col min="5" max="6" width="5" customWidth="1"/>
  </cols>
  <sheetData>
    <row r="2" spans="1:4" x14ac:dyDescent="0.3">
      <c r="A2" s="55" t="s">
        <v>189</v>
      </c>
      <c r="B2" s="55" t="s">
        <v>190</v>
      </c>
      <c r="C2" s="55" t="s">
        <v>191</v>
      </c>
      <c r="D2" s="55" t="s">
        <v>192</v>
      </c>
    </row>
    <row r="3" spans="1:4" x14ac:dyDescent="0.3">
      <c r="A3" s="56" t="s">
        <v>104</v>
      </c>
      <c r="B3" s="56" t="s">
        <v>193</v>
      </c>
      <c r="C3" s="56" t="s">
        <v>194</v>
      </c>
      <c r="D3" s="56"/>
    </row>
    <row r="4" spans="1:4" x14ac:dyDescent="0.3">
      <c r="A4" s="56" t="s">
        <v>94</v>
      </c>
      <c r="B4" s="56" t="s">
        <v>196</v>
      </c>
      <c r="C4" s="56" t="s">
        <v>194</v>
      </c>
      <c r="D4" s="56" t="s">
        <v>197</v>
      </c>
    </row>
    <row r="5" spans="1:4" x14ac:dyDescent="0.3">
      <c r="A5" s="56" t="s">
        <v>21</v>
      </c>
      <c r="B5" s="56" t="s">
        <v>196</v>
      </c>
      <c r="C5" s="56" t="s">
        <v>194</v>
      </c>
      <c r="D5" s="56" t="s">
        <v>198</v>
      </c>
    </row>
    <row r="6" spans="1:4" x14ac:dyDescent="0.3">
      <c r="A6" s="56" t="s">
        <v>23</v>
      </c>
      <c r="B6" s="56" t="s">
        <v>196</v>
      </c>
      <c r="C6" s="56" t="s">
        <v>194</v>
      </c>
      <c r="D6" s="56" t="s">
        <v>199</v>
      </c>
    </row>
    <row r="7" spans="1:4" x14ac:dyDescent="0.3">
      <c r="A7" s="56" t="s">
        <v>113</v>
      </c>
      <c r="B7" s="56" t="s">
        <v>196</v>
      </c>
      <c r="C7" s="56" t="s">
        <v>194</v>
      </c>
      <c r="D7" s="56" t="s">
        <v>200</v>
      </c>
    </row>
    <row r="8" spans="1:4" x14ac:dyDescent="0.3">
      <c r="A8" s="56" t="s">
        <v>179</v>
      </c>
      <c r="B8" s="56" t="s">
        <v>196</v>
      </c>
      <c r="C8" s="56" t="s">
        <v>194</v>
      </c>
      <c r="D8" s="56" t="s">
        <v>201</v>
      </c>
    </row>
    <row r="9" spans="1:4" x14ac:dyDescent="0.3">
      <c r="A9" s="56" t="s">
        <v>27</v>
      </c>
      <c r="B9" s="56" t="s">
        <v>196</v>
      </c>
      <c r="C9" s="56" t="s">
        <v>194</v>
      </c>
      <c r="D9" s="56" t="s">
        <v>202</v>
      </c>
    </row>
    <row r="10" spans="1:4" x14ac:dyDescent="0.3">
      <c r="A10" s="56" t="s">
        <v>29</v>
      </c>
      <c r="B10" s="56" t="s">
        <v>203</v>
      </c>
      <c r="C10" s="56" t="s">
        <v>194</v>
      </c>
      <c r="D10" s="56" t="s">
        <v>204</v>
      </c>
    </row>
    <row r="11" spans="1:4" x14ac:dyDescent="0.3">
      <c r="A11" s="56" t="s">
        <v>31</v>
      </c>
      <c r="B11" s="56" t="s">
        <v>205</v>
      </c>
      <c r="C11" s="56" t="s">
        <v>194</v>
      </c>
      <c r="D11" s="56" t="s">
        <v>206</v>
      </c>
    </row>
    <row r="12" spans="1:4" x14ac:dyDescent="0.3">
      <c r="A12" s="56" t="s">
        <v>32</v>
      </c>
      <c r="B12" s="56" t="s">
        <v>207</v>
      </c>
      <c r="C12" s="56" t="s">
        <v>194</v>
      </c>
      <c r="D12" s="56" t="s">
        <v>208</v>
      </c>
    </row>
    <row r="13" spans="1:4" x14ac:dyDescent="0.3">
      <c r="A13" s="56" t="s">
        <v>33</v>
      </c>
      <c r="B13" s="56" t="s">
        <v>209</v>
      </c>
      <c r="C13" s="56" t="s">
        <v>194</v>
      </c>
      <c r="D13" s="56" t="s">
        <v>210</v>
      </c>
    </row>
    <row r="14" spans="1:4" x14ac:dyDescent="0.3">
      <c r="A14" s="56" t="s">
        <v>35</v>
      </c>
      <c r="B14" s="56" t="s">
        <v>196</v>
      </c>
      <c r="C14" s="56" t="s">
        <v>194</v>
      </c>
      <c r="D14" s="56" t="s">
        <v>211</v>
      </c>
    </row>
    <row r="15" spans="1:4" x14ac:dyDescent="0.3">
      <c r="A15" s="56" t="s">
        <v>110</v>
      </c>
      <c r="B15" s="56" t="s">
        <v>212</v>
      </c>
      <c r="C15" s="56" t="s">
        <v>194</v>
      </c>
      <c r="D15" s="56" t="s">
        <v>213</v>
      </c>
    </row>
    <row r="16" spans="1:4" x14ac:dyDescent="0.3">
      <c r="A16" s="56" t="s">
        <v>38</v>
      </c>
      <c r="B16" s="56" t="s">
        <v>214</v>
      </c>
      <c r="C16" s="56" t="s">
        <v>194</v>
      </c>
      <c r="D16" s="56" t="s">
        <v>215</v>
      </c>
    </row>
    <row r="17" spans="1:4" x14ac:dyDescent="0.3">
      <c r="A17" s="56" t="s">
        <v>39</v>
      </c>
      <c r="B17" s="56" t="s">
        <v>196</v>
      </c>
      <c r="C17" s="56" t="s">
        <v>194</v>
      </c>
      <c r="D17" s="56" t="s">
        <v>216</v>
      </c>
    </row>
    <row r="18" spans="1:4" x14ac:dyDescent="0.3">
      <c r="A18" s="56" t="s">
        <v>40</v>
      </c>
      <c r="B18" s="56" t="s">
        <v>217</v>
      </c>
      <c r="C18" s="56" t="s">
        <v>194</v>
      </c>
      <c r="D18" s="56" t="s">
        <v>218</v>
      </c>
    </row>
    <row r="19" spans="1:4" x14ac:dyDescent="0.3">
      <c r="A19" s="56" t="s">
        <v>41</v>
      </c>
      <c r="B19" s="56" t="s">
        <v>196</v>
      </c>
      <c r="C19" s="56" t="s">
        <v>194</v>
      </c>
      <c r="D19" s="56" t="s">
        <v>219</v>
      </c>
    </row>
    <row r="20" spans="1:4" x14ac:dyDescent="0.3">
      <c r="A20" s="56" t="s">
        <v>42</v>
      </c>
      <c r="B20" s="56" t="s">
        <v>220</v>
      </c>
      <c r="C20" s="56" t="s">
        <v>194</v>
      </c>
      <c r="D20" s="56" t="s">
        <v>221</v>
      </c>
    </row>
    <row r="21" spans="1:4" x14ac:dyDescent="0.3">
      <c r="A21" s="56" t="s">
        <v>43</v>
      </c>
      <c r="B21" s="56" t="s">
        <v>196</v>
      </c>
      <c r="C21" s="56" t="s">
        <v>194</v>
      </c>
      <c r="D21" s="56" t="s">
        <v>222</v>
      </c>
    </row>
    <row r="22" spans="1:4" x14ac:dyDescent="0.3">
      <c r="A22" s="56" t="s">
        <v>101</v>
      </c>
      <c r="B22" s="56" t="s">
        <v>223</v>
      </c>
      <c r="C22" s="56" t="s">
        <v>194</v>
      </c>
      <c r="D22" s="56" t="s">
        <v>224</v>
      </c>
    </row>
    <row r="23" spans="1:4" x14ac:dyDescent="0.3">
      <c r="A23" s="56" t="s">
        <v>51</v>
      </c>
      <c r="B23" s="56" t="s">
        <v>196</v>
      </c>
      <c r="C23" s="56" t="s">
        <v>194</v>
      </c>
      <c r="D23" s="56" t="s">
        <v>225</v>
      </c>
    </row>
    <row r="24" spans="1:4" x14ac:dyDescent="0.3">
      <c r="A24" s="56" t="s">
        <v>96</v>
      </c>
      <c r="B24" s="56" t="s">
        <v>196</v>
      </c>
      <c r="C24" s="56" t="s">
        <v>194</v>
      </c>
      <c r="D24" s="56" t="s">
        <v>226</v>
      </c>
    </row>
    <row r="25" spans="1:4" x14ac:dyDescent="0.3">
      <c r="A25" s="56" t="s">
        <v>105</v>
      </c>
      <c r="B25" s="56" t="s">
        <v>227</v>
      </c>
      <c r="C25" s="56" t="s">
        <v>194</v>
      </c>
      <c r="D25" s="56" t="s">
        <v>228</v>
      </c>
    </row>
    <row r="26" spans="1:4" x14ac:dyDescent="0.3">
      <c r="A26" s="56" t="s">
        <v>57</v>
      </c>
      <c r="B26" s="56" t="s">
        <v>196</v>
      </c>
      <c r="C26" s="56" t="s">
        <v>194</v>
      </c>
      <c r="D26" s="56" t="s">
        <v>229</v>
      </c>
    </row>
    <row r="27" spans="1:4" x14ac:dyDescent="0.3">
      <c r="A27" s="56" t="s">
        <v>58</v>
      </c>
      <c r="B27" s="56" t="s">
        <v>230</v>
      </c>
      <c r="C27" s="56" t="s">
        <v>194</v>
      </c>
      <c r="D27" s="56" t="s">
        <v>231</v>
      </c>
    </row>
    <row r="28" spans="1:4" x14ac:dyDescent="0.3">
      <c r="A28" s="56" t="s">
        <v>59</v>
      </c>
      <c r="B28" s="56" t="s">
        <v>196</v>
      </c>
      <c r="C28" s="56" t="s">
        <v>194</v>
      </c>
      <c r="D28" s="56" t="s">
        <v>232</v>
      </c>
    </row>
    <row r="29" spans="1:4" x14ac:dyDescent="0.3">
      <c r="A29" s="56" t="s">
        <v>106</v>
      </c>
      <c r="B29" s="56" t="s">
        <v>196</v>
      </c>
      <c r="C29" s="56" t="s">
        <v>194</v>
      </c>
      <c r="D29" s="56" t="s">
        <v>233</v>
      </c>
    </row>
    <row r="30" spans="1:4" x14ac:dyDescent="0.3">
      <c r="A30" s="56" t="s">
        <v>64</v>
      </c>
      <c r="B30" s="56" t="s">
        <v>196</v>
      </c>
      <c r="C30" s="56" t="s">
        <v>194</v>
      </c>
      <c r="D30" s="56" t="s">
        <v>234</v>
      </c>
    </row>
    <row r="31" spans="1:4" x14ac:dyDescent="0.3">
      <c r="A31" s="56" t="s">
        <v>108</v>
      </c>
      <c r="B31" s="56" t="s">
        <v>196</v>
      </c>
      <c r="C31" s="56" t="s">
        <v>194</v>
      </c>
      <c r="D31" s="56" t="s">
        <v>235</v>
      </c>
    </row>
    <row r="32" spans="1:4" x14ac:dyDescent="0.3">
      <c r="A32" s="56" t="s">
        <v>69</v>
      </c>
      <c r="B32" s="56" t="s">
        <v>196</v>
      </c>
      <c r="C32" s="56" t="s">
        <v>194</v>
      </c>
      <c r="D32" s="56" t="s">
        <v>236</v>
      </c>
    </row>
    <row r="33" spans="1:4" x14ac:dyDescent="0.3">
      <c r="A33" s="56" t="s">
        <v>237</v>
      </c>
      <c r="B33" s="56" t="s">
        <v>196</v>
      </c>
      <c r="C33" s="56" t="s">
        <v>194</v>
      </c>
      <c r="D33" s="56" t="s">
        <v>238</v>
      </c>
    </row>
    <row r="34" spans="1:4" x14ac:dyDescent="0.3">
      <c r="A34" s="56" t="s">
        <v>186</v>
      </c>
      <c r="B34" s="56" t="s">
        <v>196</v>
      </c>
      <c r="C34" s="56" t="s">
        <v>194</v>
      </c>
      <c r="D34" s="56" t="s">
        <v>239</v>
      </c>
    </row>
    <row r="35" spans="1:4" x14ac:dyDescent="0.3">
      <c r="A35" s="56" t="s">
        <v>70</v>
      </c>
      <c r="B35" s="56" t="s">
        <v>240</v>
      </c>
      <c r="C35" s="56" t="s">
        <v>194</v>
      </c>
      <c r="D35" s="56" t="s">
        <v>241</v>
      </c>
    </row>
    <row r="36" spans="1:4" x14ac:dyDescent="0.3">
      <c r="A36" s="56" t="s">
        <v>242</v>
      </c>
      <c r="B36" s="56" t="s">
        <v>196</v>
      </c>
      <c r="C36" s="56" t="s">
        <v>194</v>
      </c>
      <c r="D36" s="56" t="s">
        <v>243</v>
      </c>
    </row>
    <row r="37" spans="1:4" x14ac:dyDescent="0.3">
      <c r="A37" s="56" t="s">
        <v>74</v>
      </c>
      <c r="B37" s="56" t="s">
        <v>196</v>
      </c>
      <c r="C37" s="56" t="s">
        <v>194</v>
      </c>
      <c r="D37" s="56" t="s">
        <v>244</v>
      </c>
    </row>
    <row r="38" spans="1:4" x14ac:dyDescent="0.3">
      <c r="A38" s="56" t="s">
        <v>76</v>
      </c>
      <c r="B38" s="56" t="s">
        <v>245</v>
      </c>
      <c r="C38" s="56" t="s">
        <v>194</v>
      </c>
      <c r="D38" s="56" t="s">
        <v>246</v>
      </c>
    </row>
    <row r="39" spans="1:4" x14ac:dyDescent="0.3">
      <c r="A39" s="56"/>
      <c r="B39" s="56"/>
      <c r="C39" s="56"/>
      <c r="D39" s="56"/>
    </row>
    <row r="40" spans="1:4" x14ac:dyDescent="0.3">
      <c r="A40" s="56" t="s">
        <v>107</v>
      </c>
      <c r="B40" s="56" t="s">
        <v>247</v>
      </c>
      <c r="C40" s="56" t="s">
        <v>194</v>
      </c>
      <c r="D40" s="56" t="s">
        <v>248</v>
      </c>
    </row>
    <row r="41" spans="1:4" x14ac:dyDescent="0.3">
      <c r="A41" s="56" t="s">
        <v>109</v>
      </c>
      <c r="B41" s="56" t="s">
        <v>196</v>
      </c>
      <c r="C41" s="56" t="s">
        <v>194</v>
      </c>
      <c r="D41" s="56" t="s">
        <v>249</v>
      </c>
    </row>
    <row r="42" spans="1:4" x14ac:dyDescent="0.3">
      <c r="A42" s="56" t="s">
        <v>116</v>
      </c>
      <c r="B42" s="56" t="s">
        <v>196</v>
      </c>
      <c r="C42" s="56" t="s">
        <v>250</v>
      </c>
      <c r="D42" s="56" t="s">
        <v>251</v>
      </c>
    </row>
    <row r="43" spans="1:4" x14ac:dyDescent="0.3">
      <c r="A43" s="56" t="s">
        <v>177</v>
      </c>
      <c r="B43" s="56" t="s">
        <v>196</v>
      </c>
      <c r="C43" s="56" t="s">
        <v>250</v>
      </c>
      <c r="D43" s="56" t="s">
        <v>252</v>
      </c>
    </row>
    <row r="44" spans="1:4" x14ac:dyDescent="0.3">
      <c r="A44" s="56" t="s">
        <v>175</v>
      </c>
      <c r="B44" s="56" t="s">
        <v>196</v>
      </c>
      <c r="C44" s="56" t="s">
        <v>250</v>
      </c>
      <c r="D44" s="56" t="s">
        <v>253</v>
      </c>
    </row>
    <row r="45" spans="1:4" x14ac:dyDescent="0.3">
      <c r="A45" s="56" t="s">
        <v>99</v>
      </c>
      <c r="B45" s="56" t="s">
        <v>196</v>
      </c>
      <c r="C45" s="56" t="s">
        <v>250</v>
      </c>
      <c r="D45" s="56" t="s">
        <v>254</v>
      </c>
    </row>
    <row r="46" spans="1:4" x14ac:dyDescent="0.3">
      <c r="A46" s="56" t="s">
        <v>117</v>
      </c>
      <c r="B46" s="56" t="s">
        <v>196</v>
      </c>
      <c r="C46" s="56" t="s">
        <v>250</v>
      </c>
      <c r="D46" s="56" t="s">
        <v>255</v>
      </c>
    </row>
    <row r="47" spans="1:4" x14ac:dyDescent="0.3">
      <c r="A47" s="56" t="s">
        <v>118</v>
      </c>
      <c r="B47" s="56" t="s">
        <v>196</v>
      </c>
      <c r="C47" s="56" t="s">
        <v>250</v>
      </c>
      <c r="D47" s="56" t="s">
        <v>256</v>
      </c>
    </row>
    <row r="48" spans="1:4" x14ac:dyDescent="0.3">
      <c r="A48" s="56" t="s">
        <v>15</v>
      </c>
      <c r="B48" s="56" t="s">
        <v>257</v>
      </c>
      <c r="C48" s="56" t="s">
        <v>250</v>
      </c>
      <c r="D48" s="56" t="s">
        <v>258</v>
      </c>
    </row>
    <row r="49" spans="1:4" x14ac:dyDescent="0.3">
      <c r="A49" s="56" t="s">
        <v>102</v>
      </c>
      <c r="B49" s="56" t="s">
        <v>196</v>
      </c>
      <c r="C49" s="56" t="s">
        <v>250</v>
      </c>
      <c r="D49" s="56" t="s">
        <v>259</v>
      </c>
    </row>
    <row r="50" spans="1:4" x14ac:dyDescent="0.3">
      <c r="A50" s="56" t="s">
        <v>16</v>
      </c>
      <c r="B50" s="56" t="s">
        <v>196</v>
      </c>
      <c r="C50" s="56" t="s">
        <v>250</v>
      </c>
      <c r="D50" s="56" t="s">
        <v>260</v>
      </c>
    </row>
    <row r="51" spans="1:4" x14ac:dyDescent="0.3">
      <c r="A51" s="56" t="s">
        <v>19</v>
      </c>
      <c r="B51" s="56" t="s">
        <v>261</v>
      </c>
      <c r="C51" s="56" t="s">
        <v>250</v>
      </c>
      <c r="D51" s="56" t="s">
        <v>262</v>
      </c>
    </row>
    <row r="52" spans="1:4" x14ac:dyDescent="0.3">
      <c r="A52" s="56" t="s">
        <v>20</v>
      </c>
      <c r="B52" s="56" t="s">
        <v>196</v>
      </c>
      <c r="C52" s="56" t="s">
        <v>250</v>
      </c>
      <c r="D52" s="56" t="s">
        <v>263</v>
      </c>
    </row>
    <row r="53" spans="1:4" x14ac:dyDescent="0.3">
      <c r="A53" s="56" t="s">
        <v>22</v>
      </c>
      <c r="B53" s="56" t="s">
        <v>196</v>
      </c>
      <c r="C53" s="56" t="s">
        <v>250</v>
      </c>
      <c r="D53" s="56" t="s">
        <v>264</v>
      </c>
    </row>
    <row r="54" spans="1:4" x14ac:dyDescent="0.3">
      <c r="A54" s="56" t="s">
        <v>97</v>
      </c>
      <c r="B54" s="56" t="s">
        <v>196</v>
      </c>
      <c r="C54" s="56" t="s">
        <v>250</v>
      </c>
      <c r="D54" s="56" t="s">
        <v>265</v>
      </c>
    </row>
    <row r="55" spans="1:4" x14ac:dyDescent="0.3">
      <c r="A55" s="56" t="s">
        <v>120</v>
      </c>
      <c r="B55" s="56" t="s">
        <v>196</v>
      </c>
      <c r="C55" s="56" t="s">
        <v>250</v>
      </c>
      <c r="D55" s="56" t="s">
        <v>266</v>
      </c>
    </row>
    <row r="56" spans="1:4" x14ac:dyDescent="0.3">
      <c r="A56" s="56" t="s">
        <v>178</v>
      </c>
      <c r="B56" s="56" t="s">
        <v>196</v>
      </c>
      <c r="C56" s="56" t="s">
        <v>250</v>
      </c>
      <c r="D56" s="56" t="s">
        <v>267</v>
      </c>
    </row>
    <row r="57" spans="1:4" x14ac:dyDescent="0.3">
      <c r="A57" s="56"/>
      <c r="B57" s="56"/>
      <c r="C57" s="56"/>
      <c r="D57" s="56"/>
    </row>
    <row r="58" spans="1:4" x14ac:dyDescent="0.3">
      <c r="A58" s="56" t="s">
        <v>114</v>
      </c>
      <c r="B58" s="56" t="s">
        <v>196</v>
      </c>
      <c r="C58" s="56" t="s">
        <v>250</v>
      </c>
      <c r="D58" s="56" t="s">
        <v>268</v>
      </c>
    </row>
    <row r="59" spans="1:4" x14ac:dyDescent="0.3">
      <c r="A59" s="56" t="s">
        <v>88</v>
      </c>
      <c r="B59" s="56" t="s">
        <v>196</v>
      </c>
      <c r="C59" s="56" t="s">
        <v>250</v>
      </c>
      <c r="D59" s="56" t="s">
        <v>269</v>
      </c>
    </row>
    <row r="60" spans="1:4" x14ac:dyDescent="0.3">
      <c r="A60" s="56" t="s">
        <v>34</v>
      </c>
      <c r="B60" s="56" t="s">
        <v>270</v>
      </c>
      <c r="C60" s="56" t="s">
        <v>250</v>
      </c>
      <c r="D60" s="56" t="s">
        <v>271</v>
      </c>
    </row>
    <row r="61" spans="1:4" x14ac:dyDescent="0.3">
      <c r="A61" s="56" t="s">
        <v>124</v>
      </c>
      <c r="B61" s="56" t="s">
        <v>196</v>
      </c>
      <c r="C61" s="56" t="s">
        <v>250</v>
      </c>
      <c r="D61" s="56" t="s">
        <v>272</v>
      </c>
    </row>
    <row r="62" spans="1:4" x14ac:dyDescent="0.3">
      <c r="A62" s="56" t="s">
        <v>89</v>
      </c>
      <c r="B62" s="56" t="s">
        <v>196</v>
      </c>
      <c r="C62" s="56" t="s">
        <v>250</v>
      </c>
      <c r="D62" s="56" t="s">
        <v>273</v>
      </c>
    </row>
    <row r="63" spans="1:4" x14ac:dyDescent="0.3">
      <c r="A63" s="56" t="s">
        <v>181</v>
      </c>
      <c r="B63" s="56" t="s">
        <v>196</v>
      </c>
      <c r="C63" s="56" t="s">
        <v>250</v>
      </c>
      <c r="D63" s="56" t="s">
        <v>274</v>
      </c>
    </row>
    <row r="64" spans="1:4" x14ac:dyDescent="0.3">
      <c r="A64" s="56" t="s">
        <v>46</v>
      </c>
      <c r="B64" s="56" t="s">
        <v>196</v>
      </c>
      <c r="C64" s="56" t="s">
        <v>250</v>
      </c>
      <c r="D64" s="56" t="s">
        <v>275</v>
      </c>
    </row>
    <row r="65" spans="1:4" x14ac:dyDescent="0.3">
      <c r="A65" s="56" t="s">
        <v>182</v>
      </c>
      <c r="B65" s="56" t="s">
        <v>196</v>
      </c>
      <c r="C65" s="56" t="s">
        <v>250</v>
      </c>
      <c r="D65" s="56" t="s">
        <v>276</v>
      </c>
    </row>
    <row r="66" spans="1:4" x14ac:dyDescent="0.3">
      <c r="A66" s="56" t="s">
        <v>277</v>
      </c>
      <c r="B66" s="56" t="s">
        <v>196</v>
      </c>
      <c r="C66" s="56" t="s">
        <v>250</v>
      </c>
      <c r="D66" s="56" t="s">
        <v>278</v>
      </c>
    </row>
    <row r="67" spans="1:4" x14ac:dyDescent="0.3">
      <c r="A67" s="56" t="s">
        <v>48</v>
      </c>
      <c r="B67" s="56" t="s">
        <v>196</v>
      </c>
      <c r="C67" s="56" t="s">
        <v>250</v>
      </c>
      <c r="D67" s="56" t="s">
        <v>279</v>
      </c>
    </row>
    <row r="68" spans="1:4" x14ac:dyDescent="0.3">
      <c r="A68" s="56"/>
      <c r="B68" s="56"/>
      <c r="C68" s="56"/>
      <c r="D68" s="56"/>
    </row>
    <row r="69" spans="1:4" x14ac:dyDescent="0.3">
      <c r="A69" s="56" t="s">
        <v>50</v>
      </c>
      <c r="B69" s="56" t="s">
        <v>196</v>
      </c>
      <c r="C69" s="56" t="s">
        <v>250</v>
      </c>
      <c r="D69" s="56" t="s">
        <v>280</v>
      </c>
    </row>
    <row r="70" spans="1:4" x14ac:dyDescent="0.3">
      <c r="A70" s="56" t="s">
        <v>91</v>
      </c>
      <c r="B70" s="56" t="s">
        <v>196</v>
      </c>
      <c r="C70" s="56" t="s">
        <v>250</v>
      </c>
      <c r="D70" s="56" t="s">
        <v>281</v>
      </c>
    </row>
    <row r="71" spans="1:4" x14ac:dyDescent="0.3">
      <c r="A71" s="56" t="s">
        <v>127</v>
      </c>
      <c r="B71" s="56" t="s">
        <v>196</v>
      </c>
      <c r="C71" s="56" t="s">
        <v>250</v>
      </c>
      <c r="D71" s="56" t="s">
        <v>282</v>
      </c>
    </row>
    <row r="72" spans="1:4" x14ac:dyDescent="0.3">
      <c r="A72" s="56" t="s">
        <v>54</v>
      </c>
      <c r="B72" s="56" t="s">
        <v>283</v>
      </c>
      <c r="C72" s="56" t="s">
        <v>250</v>
      </c>
      <c r="D72" s="56" t="s">
        <v>284</v>
      </c>
    </row>
    <row r="73" spans="1:4" x14ac:dyDescent="0.3">
      <c r="A73" s="56" t="s">
        <v>128</v>
      </c>
      <c r="B73" s="56" t="s">
        <v>196</v>
      </c>
      <c r="C73" s="56" t="s">
        <v>250</v>
      </c>
      <c r="D73" s="56" t="s">
        <v>285</v>
      </c>
    </row>
    <row r="74" spans="1:4" x14ac:dyDescent="0.3">
      <c r="A74" s="56" t="s">
        <v>92</v>
      </c>
      <c r="B74" s="56" t="s">
        <v>196</v>
      </c>
      <c r="C74" s="56" t="s">
        <v>250</v>
      </c>
      <c r="D74" s="56" t="s">
        <v>286</v>
      </c>
    </row>
    <row r="75" spans="1:4" x14ac:dyDescent="0.3">
      <c r="A75" s="56" t="s">
        <v>61</v>
      </c>
      <c r="B75" s="56" t="s">
        <v>196</v>
      </c>
      <c r="C75" s="56" t="s">
        <v>250</v>
      </c>
      <c r="D75" s="56" t="s">
        <v>287</v>
      </c>
    </row>
    <row r="76" spans="1:4" x14ac:dyDescent="0.3">
      <c r="A76" s="56" t="s">
        <v>62</v>
      </c>
      <c r="B76" s="56" t="s">
        <v>196</v>
      </c>
      <c r="C76" s="56" t="s">
        <v>250</v>
      </c>
      <c r="D76" s="56" t="s">
        <v>288</v>
      </c>
    </row>
    <row r="77" spans="1:4" x14ac:dyDescent="0.3">
      <c r="A77" s="56" t="s">
        <v>95</v>
      </c>
      <c r="B77" s="56" t="s">
        <v>196</v>
      </c>
      <c r="C77" s="56" t="s">
        <v>250</v>
      </c>
      <c r="D77" s="56" t="s">
        <v>289</v>
      </c>
    </row>
    <row r="78" spans="1:4" x14ac:dyDescent="0.3">
      <c r="A78" s="56" t="s">
        <v>185</v>
      </c>
      <c r="B78" s="56" t="s">
        <v>196</v>
      </c>
      <c r="C78" s="56" t="s">
        <v>250</v>
      </c>
      <c r="D78" s="56" t="s">
        <v>290</v>
      </c>
    </row>
    <row r="79" spans="1:4" x14ac:dyDescent="0.3">
      <c r="A79" s="56" t="s">
        <v>100</v>
      </c>
      <c r="B79" s="56" t="s">
        <v>196</v>
      </c>
      <c r="C79" s="56" t="s">
        <v>250</v>
      </c>
      <c r="D79" s="56" t="s">
        <v>291</v>
      </c>
    </row>
    <row r="80" spans="1:4" x14ac:dyDescent="0.3">
      <c r="A80" s="56" t="s">
        <v>77</v>
      </c>
      <c r="B80" s="56" t="s">
        <v>196</v>
      </c>
      <c r="C80" s="56" t="s">
        <v>250</v>
      </c>
      <c r="D80" s="56" t="s">
        <v>292</v>
      </c>
    </row>
    <row r="81" spans="1:4" x14ac:dyDescent="0.3">
      <c r="A81" s="56" t="s">
        <v>293</v>
      </c>
      <c r="B81" s="56" t="s">
        <v>196</v>
      </c>
      <c r="C81" s="56" t="s">
        <v>250</v>
      </c>
      <c r="D81" s="56" t="s">
        <v>294</v>
      </c>
    </row>
    <row r="82" spans="1:4" x14ac:dyDescent="0.3">
      <c r="A82" s="56" t="s">
        <v>130</v>
      </c>
      <c r="B82" s="56" t="s">
        <v>196</v>
      </c>
      <c r="C82" s="56" t="s">
        <v>250</v>
      </c>
      <c r="D82" s="56" t="s">
        <v>295</v>
      </c>
    </row>
    <row r="83" spans="1:4" x14ac:dyDescent="0.3">
      <c r="A83" s="56" t="s">
        <v>93</v>
      </c>
      <c r="B83" s="56" t="s">
        <v>196</v>
      </c>
      <c r="C83" s="56" t="s">
        <v>250</v>
      </c>
      <c r="D83" s="56" t="s">
        <v>296</v>
      </c>
    </row>
    <row r="84" spans="1:4" x14ac:dyDescent="0.3">
      <c r="A84" s="56" t="s">
        <v>115</v>
      </c>
      <c r="B84" s="56" t="s">
        <v>297</v>
      </c>
      <c r="C84" s="56" t="s">
        <v>298</v>
      </c>
      <c r="D84" s="56" t="s">
        <v>299</v>
      </c>
    </row>
    <row r="85" spans="1:4" x14ac:dyDescent="0.3">
      <c r="A85" s="56" t="s">
        <v>300</v>
      </c>
      <c r="B85" s="56" t="s">
        <v>301</v>
      </c>
      <c r="C85" s="56" t="s">
        <v>298</v>
      </c>
      <c r="D85" s="56" t="s">
        <v>302</v>
      </c>
    </row>
    <row r="86" spans="1:4" x14ac:dyDescent="0.3">
      <c r="A86" s="56" t="s">
        <v>303</v>
      </c>
      <c r="B86" s="56" t="s">
        <v>196</v>
      </c>
      <c r="C86" s="56" t="s">
        <v>298</v>
      </c>
      <c r="D86" s="56" t="s">
        <v>304</v>
      </c>
    </row>
    <row r="87" spans="1:4" x14ac:dyDescent="0.3">
      <c r="A87" s="56" t="s">
        <v>30</v>
      </c>
      <c r="B87" s="56" t="s">
        <v>196</v>
      </c>
      <c r="C87" s="56" t="s">
        <v>305</v>
      </c>
      <c r="D87" s="56" t="s">
        <v>306</v>
      </c>
    </row>
    <row r="88" spans="1:4" x14ac:dyDescent="0.3">
      <c r="A88" s="56" t="s">
        <v>126</v>
      </c>
      <c r="B88" s="56" t="s">
        <v>196</v>
      </c>
      <c r="C88" s="56" t="s">
        <v>305</v>
      </c>
      <c r="D88" s="56" t="s">
        <v>307</v>
      </c>
    </row>
    <row r="89" spans="1:4" x14ac:dyDescent="0.3">
      <c r="A89" s="56" t="s">
        <v>55</v>
      </c>
      <c r="B89" s="56" t="s">
        <v>196</v>
      </c>
      <c r="C89" s="56" t="s">
        <v>308</v>
      </c>
      <c r="D89" s="56" t="s">
        <v>309</v>
      </c>
    </row>
    <row r="90" spans="1:4" x14ac:dyDescent="0.3">
      <c r="A90" s="56" t="s">
        <v>60</v>
      </c>
      <c r="B90" s="56" t="s">
        <v>196</v>
      </c>
      <c r="C90" s="56" t="s">
        <v>308</v>
      </c>
      <c r="D90" s="56" t="s">
        <v>310</v>
      </c>
    </row>
    <row r="91" spans="1:4" ht="15" thickBot="1" x14ac:dyDescent="0.35">
      <c r="A91" s="91" t="s">
        <v>95</v>
      </c>
      <c r="D91" s="56" t="s">
        <v>195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RELATORIO CONTROLADORIA</vt:lpstr>
      <vt:lpstr>FDT</vt:lpstr>
      <vt:lpstr>TABELA DE METAS</vt:lpstr>
      <vt:lpstr>CPF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Souto</dc:creator>
  <cp:lastModifiedBy>Alan Souto</cp:lastModifiedBy>
  <dcterms:created xsi:type="dcterms:W3CDTF">2026-03-12T13:58:31Z</dcterms:created>
  <dcterms:modified xsi:type="dcterms:W3CDTF">2026-10-13T18:45:01Z</dcterms:modified>
</cp:coreProperties>
</file>