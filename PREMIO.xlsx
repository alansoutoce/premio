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 Souto\Desktop\Premio\PREMIO\"/>
    </mc:Choice>
  </mc:AlternateContent>
  <xr:revisionPtr revIDLastSave="0" documentId="13_ncr:1_{3C265299-27BD-4EB3-8275-79A8E7DA6947}" xr6:coauthVersionLast="47" xr6:coauthVersionMax="47" xr10:uidLastSave="{00000000-0000-0000-0000-000000000000}"/>
  <bookViews>
    <workbookView xWindow="-108" yWindow="-108" windowWidth="23256" windowHeight="12456" activeTab="1" xr2:uid="{EBBE1F25-C943-4A3A-8B11-92CFB5DB310C}"/>
  </bookViews>
  <sheets>
    <sheet name="RELATORIO CONTROLADORIA" sheetId="1" r:id="rId1"/>
    <sheet name="FDT" sheetId="2" r:id="rId2"/>
    <sheet name="TABELA DE METAS" sheetId="3" r:id="rId3"/>
  </sheets>
  <definedNames>
    <definedName name="_xlnm._FilterDatabase" localSheetId="1" hidden="1">FDT!$A$2:$G$144</definedName>
    <definedName name="_xlnm._FilterDatabase" localSheetId="0" hidden="1">'RELATORIO CONTROLADORIA'!$A$2:$O$76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" i="2" l="1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F4" i="2"/>
  <c r="B4" i="2"/>
  <c r="G12" i="2"/>
  <c r="G66" i="2"/>
  <c r="G13" i="2"/>
  <c r="G70" i="2"/>
  <c r="G71" i="2"/>
  <c r="G72" i="2"/>
  <c r="G73" i="2"/>
  <c r="G74" i="2"/>
  <c r="G75" i="2"/>
  <c r="G76" i="2"/>
  <c r="G135" i="2"/>
  <c r="G133" i="2"/>
  <c r="G110" i="2"/>
  <c r="G130" i="2"/>
  <c r="G115" i="2"/>
  <c r="G33" i="2"/>
  <c r="G77" i="2"/>
  <c r="G80" i="2"/>
  <c r="G79" i="2"/>
  <c r="G118" i="2"/>
  <c r="G117" i="2"/>
  <c r="G121" i="2"/>
  <c r="G122" i="2"/>
  <c r="G123" i="2"/>
  <c r="G90" i="2"/>
  <c r="G88" i="2"/>
  <c r="G36" i="2"/>
  <c r="G95" i="2"/>
  <c r="G38" i="2"/>
  <c r="G41" i="2"/>
  <c r="G97" i="2"/>
  <c r="G46" i="2"/>
  <c r="G48" i="2"/>
  <c r="G99" i="2"/>
  <c r="G100" i="2"/>
  <c r="G14" i="2"/>
  <c r="G129" i="2"/>
  <c r="G131" i="2"/>
  <c r="G54" i="2"/>
  <c r="G67" i="2"/>
  <c r="G127" i="2"/>
  <c r="G116" i="2"/>
  <c r="G134" i="2"/>
  <c r="G124" i="2"/>
  <c r="G125" i="2"/>
  <c r="G119" i="2"/>
  <c r="G132" i="2"/>
  <c r="G120" i="2"/>
  <c r="G128" i="2"/>
  <c r="G126" i="2"/>
  <c r="G137" i="2"/>
  <c r="G105" i="2"/>
  <c r="G109" i="2"/>
  <c r="G84" i="2"/>
  <c r="G111" i="2"/>
  <c r="G103" i="2"/>
  <c r="G83" i="2"/>
  <c r="G102" i="2"/>
  <c r="G85" i="2"/>
  <c r="G87" i="2"/>
  <c r="G107" i="2"/>
  <c r="G91" i="2"/>
  <c r="G86" i="2"/>
  <c r="G98" i="2"/>
  <c r="G101" i="2"/>
  <c r="G78" i="2"/>
  <c r="G96" i="2"/>
  <c r="G82" i="2"/>
  <c r="G89" i="2"/>
  <c r="G108" i="2"/>
  <c r="G15" i="2"/>
  <c r="G7" i="2"/>
  <c r="G10" i="2"/>
  <c r="G94" i="2"/>
  <c r="G136" i="2"/>
  <c r="G16" i="2"/>
  <c r="G9" i="2"/>
  <c r="G81" i="2"/>
  <c r="G104" i="2"/>
  <c r="G93" i="2"/>
  <c r="G17" i="2"/>
  <c r="G106" i="2"/>
  <c r="G92" i="2"/>
  <c r="G18" i="2"/>
  <c r="G114" i="2"/>
  <c r="G6" i="2"/>
  <c r="G5" i="2"/>
  <c r="G112" i="2"/>
  <c r="G113" i="2"/>
  <c r="G47" i="2"/>
  <c r="G42" i="2"/>
  <c r="G50" i="2"/>
  <c r="G35" i="2"/>
  <c r="G53" i="2"/>
  <c r="G39" i="2"/>
  <c r="G34" i="2"/>
  <c r="G52" i="2"/>
  <c r="G51" i="2"/>
  <c r="G45" i="2"/>
  <c r="G55" i="2"/>
  <c r="G37" i="2"/>
  <c r="G49" i="2"/>
  <c r="G56" i="2"/>
  <c r="G43" i="2"/>
  <c r="G40" i="2"/>
  <c r="G44" i="2"/>
  <c r="G28" i="2"/>
  <c r="G20" i="2"/>
  <c r="G31" i="2"/>
  <c r="G30" i="2"/>
  <c r="G21" i="2"/>
  <c r="G29" i="2"/>
  <c r="G32" i="2"/>
  <c r="G27" i="2"/>
  <c r="G19" i="2"/>
  <c r="G22" i="2"/>
  <c r="G23" i="2"/>
  <c r="G24" i="2"/>
  <c r="G25" i="2"/>
  <c r="G26" i="2"/>
  <c r="G69" i="2"/>
  <c r="G58" i="2"/>
  <c r="G68" i="2"/>
  <c r="G57" i="2"/>
  <c r="G59" i="2"/>
  <c r="G60" i="2"/>
  <c r="G4" i="2"/>
  <c r="G61" i="2"/>
  <c r="G62" i="2"/>
  <c r="G63" i="2"/>
  <c r="G64" i="2"/>
  <c r="G65" i="2"/>
  <c r="G8" i="2"/>
  <c r="G11" i="2"/>
  <c r="G3" i="2"/>
</calcChain>
</file>

<file path=xl/sharedStrings.xml><?xml version="1.0" encoding="utf-8"?>
<sst xmlns="http://schemas.openxmlformats.org/spreadsheetml/2006/main" count="845" uniqueCount="201">
  <si>
    <t>COLABORADOR :</t>
  </si>
  <si>
    <t>IND. 4% DO TOTAL</t>
  </si>
  <si>
    <t>RETIRADA</t>
  </si>
  <si>
    <t>INSTALAÇÃO</t>
  </si>
  <si>
    <t>MANUTENÇÃO</t>
  </si>
  <si>
    <t>AT.</t>
  </si>
  <si>
    <t>D.U</t>
  </si>
  <si>
    <t>valor</t>
  </si>
  <si>
    <t>Resultado</t>
  </si>
  <si>
    <t>Ind. Retrabalho</t>
  </si>
  <si>
    <t>Premio</t>
  </si>
  <si>
    <t>ANTONIO CAIO DA SILVA FERREIRA</t>
  </si>
  <si>
    <t>Premio não atingido</t>
  </si>
  <si>
    <t>-</t>
  </si>
  <si>
    <t>ANTONIO EUNARDES SOUSA BRAGA</t>
  </si>
  <si>
    <t>ANTONIO FELIPE CASTRO DE OLIVEIRA</t>
  </si>
  <si>
    <t>ANTONIO RAFAEL ALEXANDRE DE SOUSA</t>
  </si>
  <si>
    <t>ANTONIO TIAGO AMANCIO DA SILVA</t>
  </si>
  <si>
    <t>ANTONIO WILSON SOARES DE SOUSA</t>
  </si>
  <si>
    <t>ARLISON DA SILVA PEREIRA</t>
  </si>
  <si>
    <t>BRENDHOWN CESAR VIANA SILVA FALCAO</t>
  </si>
  <si>
    <t>BRUNO MATIAS DA SILVA</t>
  </si>
  <si>
    <t>CARLOS HENRIQUE LINO SILVA</t>
  </si>
  <si>
    <t>CLAUDIANO CICINATO DA SILVA</t>
  </si>
  <si>
    <t>CRISLANDO SANTOS DA SILVA</t>
  </si>
  <si>
    <t>EDSON VIEIRA DE SOUSA FILHO</t>
  </si>
  <si>
    <t>EDUARDO SANTOS DA SILVA</t>
  </si>
  <si>
    <t>ELISSON PEREIRA COUTINHO NOVAIS</t>
  </si>
  <si>
    <t>EMANUEL ALBANO GOMES</t>
  </si>
  <si>
    <t>FABIO SILVESTRE BRITO</t>
  </si>
  <si>
    <t>FELIPE MARTINS DAMASCENO</t>
  </si>
  <si>
    <t>FRANCISCO CARLOS EUGENIO DO NASCIMENTO</t>
  </si>
  <si>
    <t>FRANCISCO DAS CHAGAS E SILVA ROCHA</t>
  </si>
  <si>
    <t>FRANCISCO DIEGO ALVES FERREIRA</t>
  </si>
  <si>
    <t>FRANCISCO FELIPE DE LIMA ALVES</t>
  </si>
  <si>
    <t>FRANCISCO HELIO MARINHO CUNHA NETO</t>
  </si>
  <si>
    <t>FRANCISCO JEFFERSON LAURINDO DA SILVA</t>
  </si>
  <si>
    <t>FRANCISCO LAERTE PEREIRA RODRIGUES</t>
  </si>
  <si>
    <t>GABRIEL MARTINS MUNIZ</t>
  </si>
  <si>
    <t>GEILSON DA SILVA MOURA</t>
  </si>
  <si>
    <t>GILVAN ASSUNCAO SILVA</t>
  </si>
  <si>
    <t>GLEISON VALENTIM ARAUJO</t>
  </si>
  <si>
    <t>GUTEMBERGUE OLIVEIRA</t>
  </si>
  <si>
    <t>HALLEF GUILHERME LIMA CLEMENTE SILVA</t>
  </si>
  <si>
    <t>IGOR BRUNO DE SOUZA CASTRO</t>
  </si>
  <si>
    <t>ISRAEL DOUGLAS MOURA</t>
  </si>
  <si>
    <t>ISRAEL OLIVEIRA MORAIS</t>
  </si>
  <si>
    <t>ITALO BRUSS DE SOUZA CASTRO</t>
  </si>
  <si>
    <t>ITALO XAVIER DA SILVA</t>
  </si>
  <si>
    <t>JOAO BATISTA COELHO GOMES</t>
  </si>
  <si>
    <t>JOAO PAULO DA SILVA LIMA</t>
  </si>
  <si>
    <t>JOAO PAULO GOUVEIA DA SILVA</t>
  </si>
  <si>
    <t>JONATO ARAUJO DE SOUSA</t>
  </si>
  <si>
    <t>JOSE DIOGO SOUSA ALVES</t>
  </si>
  <si>
    <t>JOSE ILDEVAM SOUSA DO NASCIMENTO</t>
  </si>
  <si>
    <t>KELTON CLEMENTE DOS SANTOS</t>
  </si>
  <si>
    <t>KELVER EDUARDO GOMES SOBRAL</t>
  </si>
  <si>
    <t>LUCAS SOUZA SILVA</t>
  </si>
  <si>
    <t>LUCIEUDO BANDEIRA ALVES FILHO</t>
  </si>
  <si>
    <t>LUIZ CARLOS MACHADO MACIEL</t>
  </si>
  <si>
    <t>LUIZ OCTAVIO ALMEIDA DA SILVA</t>
  </si>
  <si>
    <t>MAISSON FERREIRA DA SILVA</t>
  </si>
  <si>
    <t>MARCOS AURELIO DE SOUSA OLIVEIRA</t>
  </si>
  <si>
    <t>MARCOS EMANUEL COSTA HOLANDA</t>
  </si>
  <si>
    <t>MARCOS PEREIRA CARVALHO FILHO</t>
  </si>
  <si>
    <t>MILTON FERREIRA DE CASTRO</t>
  </si>
  <si>
    <t>NALVANIER DA SILVA PEREIRA</t>
  </si>
  <si>
    <t>NATAN DOS SANTOS PEREIRA</t>
  </si>
  <si>
    <t>PAULO HENRIQUE OLIVEIRA DA CUNHA</t>
  </si>
  <si>
    <t>PAULO ROBERTO ARAUJO GALVAO</t>
  </si>
  <si>
    <t>ROMARIO NOBRE DE MELO</t>
  </si>
  <si>
    <t>SAMUEL DOS SANTOS</t>
  </si>
  <si>
    <t>SERGIO MOURA PINTO</t>
  </si>
  <si>
    <t>TARCIO FRANCISCO DA SILVA</t>
  </si>
  <si>
    <t>THIAGO CASTRO DO NASCIMENTO</t>
  </si>
  <si>
    <t>THOMAS JEFFERSON ARAUJO PEREIRA</t>
  </si>
  <si>
    <t>VALDERILO FERREIRA LIMA JUNIOR</t>
  </si>
  <si>
    <t>VANIZIO PEREIRA AZEVEDO DO NASCIMENTO</t>
  </si>
  <si>
    <t>RET. COM DESCONTO</t>
  </si>
  <si>
    <t>RET.</t>
  </si>
  <si>
    <t>P.V</t>
  </si>
  <si>
    <t>FALTA</t>
  </si>
  <si>
    <t>D.A.</t>
  </si>
  <si>
    <t>ATESTADO</t>
  </si>
  <si>
    <t>D.C.</t>
  </si>
  <si>
    <t>MED.</t>
  </si>
  <si>
    <t>ANTONIO JEOVA RAMIRES DA COSTA SILVA</t>
  </si>
  <si>
    <t>CAIO VICTOR MONTEIRO DE OLIVEIRA</t>
  </si>
  <si>
    <t>DANILO OLIVEIRA DE SOUSA</t>
  </si>
  <si>
    <t>EVERLAN DA PENHA TOME</t>
  </si>
  <si>
    <t>FRANCISCO TIAGO PINHEIRO</t>
  </si>
  <si>
    <t>JONH PRESLEY RODRIGUES NOBRE</t>
  </si>
  <si>
    <t>JOSE EDNARDO DA SILVA DE LIMA</t>
  </si>
  <si>
    <t>LUIZ CARLOS ALVES LOPES</t>
  </si>
  <si>
    <t>WELLISON FERREIRA LIMA</t>
  </si>
  <si>
    <t>Auxiliar</t>
  </si>
  <si>
    <t>Valor</t>
  </si>
  <si>
    <t>ANTONIO MARCOS LIMA DA SILVA</t>
  </si>
  <si>
    <t>MATEUS GABRIEL ROCHA</t>
  </si>
  <si>
    <t>JOSE AMAURY BORGES FILHO</t>
  </si>
  <si>
    <t>CLAYLSON MORAES DOS SANTOS</t>
  </si>
  <si>
    <t>ISMAEL JULIÃO SOARES</t>
  </si>
  <si>
    <t>ANDRE SILVA LOIOLA</t>
  </si>
  <si>
    <t>SAMUEL RIBEIRO FELISMINO</t>
  </si>
  <si>
    <t>IRINETO FERREIRA DE AGUIAR</t>
  </si>
  <si>
    <t>ANTONIO FELIPE SOARES SILVA TAVARES</t>
  </si>
  <si>
    <t>EQUIPE INTERNA</t>
  </si>
  <si>
    <t>ALAN FEITOSA DE SOUTO</t>
  </si>
  <si>
    <t>JOSE MARIA DA COSTA LEONARDO</t>
  </si>
  <si>
    <t>MAILSON FRANCISCO PEREIRA</t>
  </si>
  <si>
    <t>WILLIAM ADRIANO DANTAS</t>
  </si>
  <si>
    <t>MARCOS VICTOR LOPES MEDEIROS FONSECA</t>
  </si>
  <si>
    <t>YVINA CHAGAS ALENCAR</t>
  </si>
  <si>
    <t>FRANCISCO LUCAS SOUSA CUNHA</t>
  </si>
  <si>
    <t>RIAN KELVIN ARAUJO MOURÃO</t>
  </si>
  <si>
    <t>ELISÂNGELA BOTELHO DA ROCHA</t>
  </si>
  <si>
    <t>DJONATHA COSTA DA SILVA</t>
  </si>
  <si>
    <t>CARLIETE DA COSTA FERREIRA</t>
  </si>
  <si>
    <t>EMYLLIE CRISTINE ANDRADE CRUZ</t>
  </si>
  <si>
    <t>ITALO RIBEIRO DA SILVA</t>
  </si>
  <si>
    <t>IGOR DE GOES GOMES</t>
  </si>
  <si>
    <t>ALEFF PEREIRA SOARES</t>
  </si>
  <si>
    <t>ANTONIO CARLOS FERREIRA DA SILVA</t>
  </si>
  <si>
    <t>ANTONIO EDUARDO TEIXEIRA CAMELO</t>
  </si>
  <si>
    <t>BRUNO MOREIRA MONTEIRO</t>
  </si>
  <si>
    <t>DAVI MEDINA DE ARAUJO</t>
  </si>
  <si>
    <t>DIEGO DA SILVA ASSUNCAO</t>
  </si>
  <si>
    <t>ELIZEU DA SILVA FERREIRA</t>
  </si>
  <si>
    <t>FRANCISCO JHONATA DA COSTA</t>
  </si>
  <si>
    <t>FRANCISCO MATHEUS PEREIRA MENDES</t>
  </si>
  <si>
    <t>JOAO ADAILSON GOMES ALBANO</t>
  </si>
  <si>
    <t>JONATHAN BRENO NOBRE DA SILVA</t>
  </si>
  <si>
    <t>JOSE HENRIQUE PEREIRA SOUSA</t>
  </si>
  <si>
    <t>JOSE WELLITON VIEIRA FELINTO</t>
  </si>
  <si>
    <t>MICHEL PLATINI CORREIA MORAIS</t>
  </si>
  <si>
    <t>VINICIUS SILVA LEARTE</t>
  </si>
  <si>
    <t>WESLLEY ALVES UCHOA</t>
  </si>
  <si>
    <t>EUGENIO JUSTINO DOMINGOS</t>
  </si>
  <si>
    <t>ANTONIO CARLOS BARBOSA DE SOUSA</t>
  </si>
  <si>
    <t>Equipe</t>
  </si>
  <si>
    <t>MISTO</t>
  </si>
  <si>
    <t>JEBnet</t>
  </si>
  <si>
    <t>MISTO COND.</t>
  </si>
  <si>
    <t>GIGA</t>
  </si>
  <si>
    <t>Tecnico</t>
  </si>
  <si>
    <t>VANIZIO PEREIRA AZEVEDO</t>
  </si>
  <si>
    <t>COORDENADOR</t>
  </si>
  <si>
    <t>SUPERVISOR</t>
  </si>
  <si>
    <t>INTERNO</t>
  </si>
  <si>
    <t>Dnet</t>
  </si>
  <si>
    <t>WA.ME/55</t>
  </si>
  <si>
    <t>CONTATO WPP</t>
  </si>
  <si>
    <t>WHATSAPP</t>
  </si>
  <si>
    <t>TECNICO</t>
  </si>
  <si>
    <t>#N/A</t>
  </si>
  <si>
    <t>WILLIAM DANTAS</t>
  </si>
  <si>
    <t>MARCOS VICTOR</t>
  </si>
  <si>
    <t>ALAN SOUTO</t>
  </si>
  <si>
    <t>JOSE LEONARDO</t>
  </si>
  <si>
    <t>FRANCISCO HELIO MARINHO CUNHA NETO</t>
  </si>
  <si>
    <t>JEBNET</t>
  </si>
  <si>
    <t>ANTONIO CARLOS BARBOSA SOUSA</t>
  </si>
  <si>
    <t>FRANCISCO DA SILVA RODRIGUES</t>
  </si>
  <si>
    <t>FRANCISCO JOSE FREITAS NEO</t>
  </si>
  <si>
    <t>FRANCISCO RAFAEL DIAS</t>
  </si>
  <si>
    <t>FRANCISCO YURI DA COSTA MARTINS</t>
  </si>
  <si>
    <t>MAILSON FRANCISCO</t>
  </si>
  <si>
    <t>ROTEIRIZADOR PENDÊNCIA</t>
  </si>
  <si>
    <t>AGENDAMENTO PENDENCIAS</t>
  </si>
  <si>
    <t>ROTEIRIZADOR INSTALAÇÃO</t>
  </si>
  <si>
    <t>AGENDAMENTO INSTALAÇÃO</t>
  </si>
  <si>
    <t>VALOR</t>
  </si>
  <si>
    <t>META/DIA</t>
  </si>
  <si>
    <t>Premiação</t>
  </si>
  <si>
    <t>AE</t>
  </si>
  <si>
    <t>PRATA</t>
  </si>
  <si>
    <t>OURO</t>
  </si>
  <si>
    <t>PLATINA</t>
  </si>
  <si>
    <t>DIAMANTE</t>
  </si>
  <si>
    <t>PENDENCIA</t>
  </si>
  <si>
    <t>INST. COND.</t>
  </si>
  <si>
    <t>PEND. COND.</t>
  </si>
  <si>
    <t>DIAS TRABALHADOS</t>
  </si>
  <si>
    <t>ALLYSSON DA SILVA MARINHO</t>
  </si>
  <si>
    <t>ELEEONAI VIANA DA SILVA</t>
  </si>
  <si>
    <t>ALEXANDRE SANTOS GOMES</t>
  </si>
  <si>
    <t>DAVID DE SOUSA SILVA</t>
  </si>
  <si>
    <t>ELISANGELA BOTELHO DA ROCHA</t>
  </si>
  <si>
    <t>GABRIEL MUNIZ DA COSTA</t>
  </si>
  <si>
    <t>ISMAEL JULIAO SOARES</t>
  </si>
  <si>
    <t>ISRAEL ROBERTH SANTIAGO DE MENEZES</t>
  </si>
  <si>
    <t>JANIEL TEIXEIRA DE MELO</t>
  </si>
  <si>
    <t>PAULO ITALO JORGE MORAIS</t>
  </si>
  <si>
    <t>RIAN KELVIN ARAUJO MOURAO</t>
  </si>
  <si>
    <t>ROBSON BEZERRA DA SILVA</t>
  </si>
  <si>
    <t>PALMARES</t>
  </si>
  <si>
    <t>Concessão</t>
  </si>
  <si>
    <t xml:space="preserve">DAVID DE SOUSA SILVA
</t>
  </si>
  <si>
    <t>propocional 20 dias</t>
  </si>
  <si>
    <t>Desligada</t>
  </si>
  <si>
    <t>CPF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</si>
</sst>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b/>
      <sz val="8"/>
      <color rgb="FFFFFFFF"/>
      <name val="Arial"/>
      <family val="2"/>
    </font>
    <font>
      <b/>
      <sz val="11"/>
      <color rgb="FFFFFFFF"/>
      <name val="Arial"/>
      <family val="2"/>
    </font>
    <font>
      <sz val="11"/>
      <color rgb="FFFFFFFF"/>
      <name val="Arial"/>
      <family val="2"/>
    </font>
    <font>
      <b/>
      <sz val="6"/>
      <color rgb="FFFFFFFF"/>
      <name val="Arial"/>
      <family val="2"/>
    </font>
    <font>
      <sz val="11"/>
      <color rgb="FFFFFFFF"/>
      <name val="Calibri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6"/>
      <color rgb="FF9C5700"/>
      <name val="Arial"/>
      <family val="2"/>
    </font>
    <font>
      <sz val="6"/>
      <color rgb="FF0070C0"/>
      <name val="Arial"/>
      <family val="2"/>
    </font>
    <font>
      <sz val="6"/>
      <color rgb="FF9C0006"/>
      <name val="Arial"/>
      <family val="2"/>
    </font>
    <font>
      <sz val="6"/>
      <color rgb="FF006100"/>
      <name val="Arial"/>
      <family val="2"/>
    </font>
    <font>
      <sz val="11"/>
      <color rgb="FFF4CCCC"/>
      <name val="Arial"/>
      <family val="2"/>
    </font>
    <font>
      <sz val="11"/>
      <color rgb="FFD9EAD3"/>
      <name val="Arial"/>
      <family val="2"/>
    </font>
    <font>
      <sz val="9"/>
      <color rgb="FFFFFFFF"/>
      <name val="Arial"/>
      <family val="2"/>
    </font>
    <font>
      <b/>
      <sz val="11"/>
      <color theme="1"/>
      <name val="Calibri"/>
      <family val="2"/>
    </font>
    <font>
      <u/>
      <sz val="11"/>
      <color theme="10"/>
      <name val="Aptos Narrow"/>
      <family val="2"/>
      <scheme val="minor"/>
    </font>
    <font>
      <b/>
      <sz val="8"/>
      <color rgb="FFFFFFFF"/>
      <name val="Calibri"/>
      <family val="2"/>
    </font>
    <font>
      <b/>
      <sz val="11"/>
      <color rgb="FFFFFFFF"/>
      <name val="Calibri"/>
      <family val="2"/>
    </font>
    <font>
      <sz val="11"/>
      <color rgb="FF073763"/>
      <name val="Arial"/>
      <family val="2"/>
    </font>
    <font>
      <b/>
      <sz val="11"/>
      <color theme="1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B539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BDD6EE"/>
        <bgColor indexed="64"/>
      </patternFill>
    </fill>
    <fill>
      <patternFill patternType="solid">
        <fgColor rgb="FFE6913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BF9000"/>
        <bgColor indexed="64"/>
      </patternFill>
    </fill>
    <fill>
      <patternFill patternType="solid">
        <fgColor rgb="FF6AA84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80008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6DFEC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1C4587"/>
        <bgColor indexed="64"/>
      </patternFill>
    </fill>
    <fill>
      <patternFill patternType="solid">
        <fgColor rgb="FF6FA8DC"/>
        <bgColor indexed="64"/>
      </patternFill>
    </fill>
    <fill>
      <patternFill patternType="solid">
        <fgColor rgb="FF980000"/>
        <bgColor indexed="64"/>
      </patternFill>
    </fill>
    <fill>
      <patternFill patternType="solid">
        <fgColor rgb="FFACB9C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9DAF8"/>
        <bgColor indexed="64"/>
      </patternFill>
    </fill>
  </fills>
  <borders count="30">
    <border>
      <left/>
      <right/>
      <top/>
      <bottom/>
      <diagonal/>
    </border>
    <border>
      <left style="medium">
        <color rgb="FF666666"/>
      </left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 style="medium">
        <color rgb="FF666666"/>
      </right>
      <top style="medium">
        <color rgb="FF666666"/>
      </top>
      <bottom style="medium">
        <color rgb="FF000000"/>
      </bottom>
      <diagonal/>
    </border>
    <border>
      <left/>
      <right/>
      <top style="medium">
        <color rgb="FF666666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666666"/>
      </bottom>
      <diagonal/>
    </border>
    <border>
      <left/>
      <right style="medium">
        <color rgb="FF666666"/>
      </right>
      <top/>
      <bottom/>
      <diagonal/>
    </border>
    <border>
      <left/>
      <right style="medium">
        <color rgb="FF666666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CCCCCC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/>
      <bottom/>
      <diagonal/>
    </border>
  </borders>
  <cellStyleXfs count="2">
    <xf numFmtId="0" fontId="0" fillId="0" borderId="0"/>
    <xf numFmtId="0" fontId="20" fillId="0" borderId="0" applyNumberFormat="0" applyFill="0" applyBorder="0" applyAlignment="0" applyProtection="0"/>
  </cellStyleXfs>
  <cellXfs count="114">
    <xf numFmtId="0" fontId="0" fillId="0" borderId="0" xfId="0"/>
    <xf numFmtId="0" fontId="1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horizontal="center" wrapText="1"/>
    </xf>
    <xf numFmtId="0" fontId="3" fillId="3" borderId="3" xfId="0" applyFont="1" applyFill="1" applyBorder="1" applyAlignment="1">
      <alignment horizontal="center" wrapText="1"/>
    </xf>
    <xf numFmtId="0" fontId="4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 wrapText="1"/>
    </xf>
    <xf numFmtId="0" fontId="4" fillId="2" borderId="4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horizontal="center" wrapText="1"/>
    </xf>
    <xf numFmtId="10" fontId="7" fillId="4" borderId="4" xfId="0" applyNumberFormat="1" applyFont="1" applyFill="1" applyBorder="1" applyAlignment="1">
      <alignment horizontal="center" vertical="center" wrapText="1"/>
    </xf>
    <xf numFmtId="0" fontId="8" fillId="5" borderId="5" xfId="0" applyFont="1" applyFill="1" applyBorder="1" applyAlignment="1">
      <alignment wrapText="1"/>
    </xf>
    <xf numFmtId="10" fontId="12" fillId="8" borderId="4" xfId="0" applyNumberFormat="1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wrapText="1"/>
    </xf>
    <xf numFmtId="10" fontId="13" fillId="9" borderId="4" xfId="0" applyNumberFormat="1" applyFont="1" applyFill="1" applyBorder="1" applyAlignment="1">
      <alignment horizontal="center" vertical="center" wrapText="1"/>
    </xf>
    <xf numFmtId="0" fontId="8" fillId="10" borderId="5" xfId="0" applyFont="1" applyFill="1" applyBorder="1" applyAlignment="1">
      <alignment wrapText="1"/>
    </xf>
    <xf numFmtId="10" fontId="14" fillId="11" borderId="4" xfId="0" applyNumberFormat="1" applyFont="1" applyFill="1" applyBorder="1" applyAlignment="1">
      <alignment horizontal="center" vertical="center" wrapText="1"/>
    </xf>
    <xf numFmtId="10" fontId="15" fillId="12" borderId="4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wrapText="1"/>
    </xf>
    <xf numFmtId="0" fontId="1" fillId="0" borderId="6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18" fillId="2" borderId="5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1" fillId="6" borderId="0" xfId="0" applyFont="1" applyFill="1" applyAlignment="1">
      <alignment vertical="center" wrapText="1"/>
    </xf>
    <xf numFmtId="0" fontId="1" fillId="0" borderId="8" xfId="0" applyFont="1" applyBorder="1" applyAlignment="1">
      <alignment vertical="center" wrapText="1"/>
    </xf>
    <xf numFmtId="0" fontId="10" fillId="6" borderId="5" xfId="0" applyFont="1" applyFill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0" borderId="5" xfId="0" applyFont="1" applyBorder="1" applyAlignment="1">
      <alignment wrapText="1"/>
    </xf>
    <xf numFmtId="0" fontId="1" fillId="0" borderId="0" xfId="0" applyFont="1" applyAlignment="1">
      <alignment vertical="center" wrapText="1"/>
    </xf>
    <xf numFmtId="0" fontId="1" fillId="0" borderId="9" xfId="0" applyFont="1" applyBorder="1" applyAlignment="1">
      <alignment vertical="center" wrapText="1"/>
    </xf>
    <xf numFmtId="0" fontId="1" fillId="0" borderId="10" xfId="0" applyFont="1" applyBorder="1" applyAlignment="1">
      <alignment vertical="center" wrapText="1"/>
    </xf>
    <xf numFmtId="0" fontId="2" fillId="2" borderId="11" xfId="0" applyFont="1" applyFill="1" applyBorder="1" applyAlignment="1">
      <alignment wrapText="1"/>
    </xf>
    <xf numFmtId="0" fontId="1" fillId="17" borderId="5" xfId="0" applyFont="1" applyFill="1" applyBorder="1" applyAlignment="1">
      <alignment wrapText="1"/>
    </xf>
    <xf numFmtId="0" fontId="19" fillId="0" borderId="5" xfId="0" applyFont="1" applyBorder="1" applyAlignment="1">
      <alignment wrapText="1"/>
    </xf>
    <xf numFmtId="0" fontId="1" fillId="10" borderId="0" xfId="0" applyFont="1" applyFill="1" applyAlignment="1">
      <alignment wrapText="1"/>
    </xf>
    <xf numFmtId="0" fontId="10" fillId="0" borderId="5" xfId="0" applyFont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2" fillId="2" borderId="5" xfId="0" applyFont="1" applyFill="1" applyBorder="1" applyAlignment="1">
      <alignment horizontal="center" wrapText="1"/>
    </xf>
    <xf numFmtId="0" fontId="18" fillId="2" borderId="5" xfId="0" applyFont="1" applyFill="1" applyBorder="1" applyAlignment="1">
      <alignment horizontal="center" wrapText="1"/>
    </xf>
    <xf numFmtId="0" fontId="11" fillId="0" borderId="5" xfId="0" applyFont="1" applyBorder="1" applyAlignment="1">
      <alignment horizontal="center" wrapText="1"/>
    </xf>
    <xf numFmtId="8" fontId="11" fillId="0" borderId="5" xfId="0" applyNumberFormat="1" applyFont="1" applyBorder="1" applyAlignment="1">
      <alignment horizontal="center" wrapText="1"/>
    </xf>
    <xf numFmtId="0" fontId="1" fillId="6" borderId="0" xfId="0" applyFont="1" applyFill="1" applyAlignment="1">
      <alignment wrapText="1"/>
    </xf>
    <xf numFmtId="0" fontId="2" fillId="2" borderId="8" xfId="0" applyFont="1" applyFill="1" applyBorder="1" applyAlignment="1">
      <alignment horizontal="center" wrapText="1"/>
    </xf>
    <xf numFmtId="0" fontId="18" fillId="2" borderId="8" xfId="0" applyFont="1" applyFill="1" applyBorder="1" applyAlignment="1">
      <alignment horizontal="center" wrapText="1"/>
    </xf>
    <xf numFmtId="0" fontId="10" fillId="18" borderId="5" xfId="0" applyFont="1" applyFill="1" applyBorder="1" applyAlignment="1">
      <alignment horizontal="center" wrapText="1"/>
    </xf>
    <xf numFmtId="0" fontId="1" fillId="19" borderId="0" xfId="0" applyFont="1" applyFill="1" applyAlignment="1">
      <alignment wrapText="1"/>
    </xf>
    <xf numFmtId="8" fontId="11" fillId="0" borderId="5" xfId="0" applyNumberFormat="1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vertical="center" wrapText="1"/>
    </xf>
    <xf numFmtId="0" fontId="1" fillId="7" borderId="5" xfId="0" applyFont="1" applyFill="1" applyBorder="1" applyAlignment="1">
      <alignment vertical="center" wrapText="1"/>
    </xf>
    <xf numFmtId="0" fontId="1" fillId="7" borderId="5" xfId="0" applyFont="1" applyFill="1" applyBorder="1" applyAlignment="1">
      <alignment wrapText="1"/>
    </xf>
    <xf numFmtId="0" fontId="11" fillId="0" borderId="8" xfId="0" applyFont="1" applyBorder="1" applyAlignment="1">
      <alignment vertical="center"/>
    </xf>
    <xf numFmtId="0" fontId="9" fillId="6" borderId="5" xfId="0" applyFont="1" applyFill="1" applyBorder="1" applyAlignment="1">
      <alignment wrapText="1"/>
    </xf>
    <xf numFmtId="0" fontId="9" fillId="6" borderId="5" xfId="0" applyFont="1" applyFill="1" applyBorder="1" applyAlignment="1">
      <alignment vertical="center" wrapText="1"/>
    </xf>
    <xf numFmtId="0" fontId="9" fillId="6" borderId="11" xfId="0" applyFont="1" applyFill="1" applyBorder="1" applyAlignment="1">
      <alignment wrapText="1"/>
    </xf>
    <xf numFmtId="0" fontId="20" fillId="0" borderId="13" xfId="1" applyBorder="1" applyAlignment="1">
      <alignment horizontal="center" wrapText="1"/>
    </xf>
    <xf numFmtId="0" fontId="2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wrapText="1"/>
    </xf>
    <xf numFmtId="0" fontId="1" fillId="0" borderId="13" xfId="0" applyFont="1" applyBorder="1" applyAlignment="1">
      <alignment horizontal="center" wrapText="1"/>
    </xf>
    <xf numFmtId="0" fontId="1" fillId="0" borderId="13" xfId="0" applyFont="1" applyBorder="1" applyAlignment="1">
      <alignment horizontal="right" wrapText="1"/>
    </xf>
    <xf numFmtId="0" fontId="1" fillId="25" borderId="13" xfId="0" applyFont="1" applyFill="1" applyBorder="1" applyAlignment="1">
      <alignment wrapText="1"/>
    </xf>
    <xf numFmtId="0" fontId="22" fillId="25" borderId="13" xfId="0" applyFont="1" applyFill="1" applyBorder="1" applyAlignment="1">
      <alignment wrapText="1"/>
    </xf>
    <xf numFmtId="0" fontId="22" fillId="26" borderId="13" xfId="0" applyFont="1" applyFill="1" applyBorder="1" applyAlignment="1">
      <alignment wrapText="1"/>
    </xf>
    <xf numFmtId="0" fontId="22" fillId="27" borderId="13" xfId="0" applyFont="1" applyFill="1" applyBorder="1" applyAlignment="1">
      <alignment wrapText="1"/>
    </xf>
    <xf numFmtId="8" fontId="1" fillId="0" borderId="13" xfId="0" applyNumberFormat="1" applyFont="1" applyBorder="1" applyAlignment="1">
      <alignment horizontal="right" wrapText="1"/>
    </xf>
    <xf numFmtId="0" fontId="1" fillId="28" borderId="13" xfId="0" applyFont="1" applyFill="1" applyBorder="1" applyAlignment="1">
      <alignment wrapText="1"/>
    </xf>
    <xf numFmtId="8" fontId="1" fillId="28" borderId="13" xfId="0" applyNumberFormat="1" applyFont="1" applyFill="1" applyBorder="1" applyAlignment="1">
      <alignment horizontal="right" wrapText="1"/>
    </xf>
    <xf numFmtId="0" fontId="1" fillId="0" borderId="14" xfId="0" applyFont="1" applyBorder="1" applyAlignment="1">
      <alignment horizontal="right" wrapText="1"/>
    </xf>
    <xf numFmtId="0" fontId="22" fillId="29" borderId="13" xfId="0" applyFont="1" applyFill="1" applyBorder="1" applyAlignment="1">
      <alignment wrapText="1"/>
    </xf>
    <xf numFmtId="0" fontId="1" fillId="0" borderId="15" xfId="0" applyFont="1" applyBorder="1" applyAlignment="1">
      <alignment horizontal="right" wrapText="1"/>
    </xf>
    <xf numFmtId="0" fontId="19" fillId="30" borderId="13" xfId="0" applyFont="1" applyFill="1" applyBorder="1" applyAlignment="1">
      <alignment wrapText="1"/>
    </xf>
    <xf numFmtId="0" fontId="22" fillId="25" borderId="16" xfId="0" applyFont="1" applyFill="1" applyBorder="1" applyAlignment="1">
      <alignment wrapText="1"/>
    </xf>
    <xf numFmtId="0" fontId="1" fillId="0" borderId="17" xfId="0" applyFont="1" applyBorder="1" applyAlignment="1">
      <alignment wrapText="1"/>
    </xf>
    <xf numFmtId="0" fontId="1" fillId="0" borderId="18" xfId="0" applyFont="1" applyBorder="1" applyAlignment="1">
      <alignment horizontal="right" wrapText="1"/>
    </xf>
    <xf numFmtId="0" fontId="1" fillId="0" borderId="19" xfId="0" applyFont="1" applyBorder="1" applyAlignment="1">
      <alignment horizontal="right" wrapText="1"/>
    </xf>
    <xf numFmtId="0" fontId="22" fillId="25" borderId="23" xfId="0" applyFont="1" applyFill="1" applyBorder="1" applyAlignment="1">
      <alignment horizontal="right" wrapText="1"/>
    </xf>
    <xf numFmtId="0" fontId="22" fillId="25" borderId="24" xfId="0" applyFont="1" applyFill="1" applyBorder="1" applyAlignment="1">
      <alignment horizontal="right" wrapText="1"/>
    </xf>
    <xf numFmtId="0" fontId="22" fillId="25" borderId="25" xfId="0" applyFont="1" applyFill="1" applyBorder="1" applyAlignment="1">
      <alignment horizontal="right" wrapText="1"/>
    </xf>
    <xf numFmtId="0" fontId="22" fillId="25" borderId="26" xfId="0" applyFont="1" applyFill="1" applyBorder="1" applyAlignment="1">
      <alignment horizontal="right" wrapText="1"/>
    </xf>
    <xf numFmtId="0" fontId="22" fillId="25" borderId="27" xfId="0" applyFont="1" applyFill="1" applyBorder="1" applyAlignment="1">
      <alignment horizontal="right" wrapText="1"/>
    </xf>
    <xf numFmtId="0" fontId="22" fillId="2" borderId="28" xfId="0" applyFont="1" applyFill="1" applyBorder="1" applyAlignment="1">
      <alignment horizontal="center" wrapText="1"/>
    </xf>
    <xf numFmtId="0" fontId="11" fillId="0" borderId="0" xfId="0" applyFont="1" applyBorder="1" applyAlignment="1"/>
    <xf numFmtId="0" fontId="20" fillId="2" borderId="0" xfId="1" applyFill="1" applyBorder="1" applyAlignment="1"/>
    <xf numFmtId="0" fontId="22" fillId="14" borderId="0" xfId="0" applyFont="1" applyFill="1" applyBorder="1" applyAlignment="1">
      <alignment horizontal="center"/>
    </xf>
    <xf numFmtId="0" fontId="22" fillId="2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2" fillId="23" borderId="0" xfId="0" applyFont="1" applyFill="1" applyBorder="1" applyAlignment="1">
      <alignment horizontal="center"/>
    </xf>
    <xf numFmtId="0" fontId="1" fillId="0" borderId="0" xfId="0" applyFont="1" applyBorder="1" applyAlignment="1"/>
    <xf numFmtId="0" fontId="22" fillId="22" borderId="0" xfId="0" applyFont="1" applyFill="1" applyBorder="1" applyAlignment="1">
      <alignment horizontal="center"/>
    </xf>
    <xf numFmtId="0" fontId="22" fillId="24" borderId="0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 wrapText="1"/>
    </xf>
    <xf numFmtId="0" fontId="10" fillId="0" borderId="5" xfId="0" applyFont="1" applyBorder="1" applyAlignment="1">
      <alignment horizontal="center" vertical="center" wrapText="1"/>
    </xf>
    <xf numFmtId="0" fontId="10" fillId="7" borderId="5" xfId="0" applyFont="1" applyFill="1" applyBorder="1" applyAlignment="1">
      <alignment horizontal="center" vertical="center" wrapText="1"/>
    </xf>
    <xf numFmtId="0" fontId="23" fillId="31" borderId="5" xfId="0" applyFont="1" applyFill="1" applyBorder="1" applyAlignment="1">
      <alignment horizontal="center" wrapText="1"/>
    </xf>
    <xf numFmtId="0" fontId="17" fillId="14" borderId="5" xfId="0" applyFont="1" applyFill="1" applyBorder="1" applyAlignment="1">
      <alignment horizontal="center" wrapText="1"/>
    </xf>
    <xf numFmtId="0" fontId="16" fillId="13" borderId="5" xfId="0" applyFont="1" applyFill="1" applyBorder="1" applyAlignment="1">
      <alignment horizontal="center" wrapText="1"/>
    </xf>
    <xf numFmtId="0" fontId="11" fillId="0" borderId="0" xfId="0" applyFont="1" applyAlignment="1">
      <alignment vertical="center"/>
    </xf>
    <xf numFmtId="0" fontId="24" fillId="0" borderId="5" xfId="0" applyFont="1" applyBorder="1" applyAlignment="1">
      <alignment horizontal="center"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22" fillId="2" borderId="29" xfId="0" applyFont="1" applyFill="1" applyBorder="1" applyAlignment="1">
      <alignment horizontal="center" wrapText="1"/>
    </xf>
    <xf numFmtId="0" fontId="10" fillId="15" borderId="12" xfId="0" applyFont="1" applyFill="1" applyBorder="1" applyAlignment="1">
      <alignment horizontal="center" vertical="center" wrapText="1"/>
    </xf>
    <xf numFmtId="0" fontId="10" fillId="15" borderId="7" xfId="0" applyFont="1" applyFill="1" applyBorder="1" applyAlignment="1">
      <alignment horizontal="center" vertical="center" wrapText="1"/>
    </xf>
    <xf numFmtId="0" fontId="10" fillId="15" borderId="4" xfId="0" applyFont="1" applyFill="1" applyBorder="1" applyAlignment="1">
      <alignment horizontal="center" vertical="center" wrapText="1"/>
    </xf>
    <xf numFmtId="0" fontId="18" fillId="16" borderId="12" xfId="0" applyFont="1" applyFill="1" applyBorder="1" applyAlignment="1">
      <alignment horizontal="center" vertical="center" wrapText="1"/>
    </xf>
    <xf numFmtId="0" fontId="18" fillId="16" borderId="7" xfId="0" applyFont="1" applyFill="1" applyBorder="1" applyAlignment="1">
      <alignment horizontal="center" vertical="center" wrapText="1"/>
    </xf>
    <xf numFmtId="0" fontId="18" fillId="16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://wa.me/5585" TargetMode="External"/><Relationship Id="rId1" Type="http://schemas.openxmlformats.org/officeDocument/2006/relationships/hyperlink" Target="http://wa.me/5585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D5F93-7FD0-475D-BD8B-05AFD028EF88}">
  <dimension ref="A1:R216"/>
  <sheetViews>
    <sheetView topLeftCell="A58" workbookViewId="0">
      <selection sqref="A1:R216"/>
    </sheetView>
  </sheetViews>
  <sheetFormatPr defaultColWidth="16.44140625" defaultRowHeight="15" customHeight="1" x14ac:dyDescent="0.3"/>
  <cols>
    <col min="1" max="1" width="14.33203125" bestFit="1" customWidth="1"/>
    <col min="2" max="2" width="44.88671875" bestFit="1" customWidth="1"/>
    <col min="3" max="3" width="44.109375" bestFit="1" customWidth="1"/>
    <col min="4" max="4" width="19.44140625" bestFit="1" customWidth="1"/>
    <col min="5" max="5" width="16" bestFit="1" customWidth="1"/>
    <col min="6" max="6" width="9.77734375" bestFit="1" customWidth="1"/>
    <col min="7" max="7" width="9.109375" bestFit="1" customWidth="1"/>
    <col min="8" max="8" width="11.21875" bestFit="1" customWidth="1"/>
    <col min="9" max="9" width="10.88671875" bestFit="1" customWidth="1"/>
    <col min="10" max="10" width="17.5546875" bestFit="1" customWidth="1"/>
    <col min="11" max="11" width="5.5546875" bestFit="1" customWidth="1"/>
    <col min="12" max="12" width="3.88671875" bestFit="1" customWidth="1"/>
    <col min="13" max="13" width="9.77734375" bestFit="1" customWidth="1"/>
    <col min="14" max="14" width="3.88671875" bestFit="1" customWidth="1"/>
    <col min="15" max="15" width="4.109375" bestFit="1" customWidth="1"/>
    <col min="16" max="16" width="5" bestFit="1" customWidth="1"/>
    <col min="17" max="17" width="11.88671875" bestFit="1" customWidth="1"/>
    <col min="18" max="18" width="18.88671875" bestFit="1" customWidth="1"/>
  </cols>
  <sheetData>
    <row r="1" spans="1:18" ht="15" customHeight="1" thickBot="1" x14ac:dyDescent="0.35">
      <c r="A1" s="1"/>
      <c r="B1" s="2" t="s">
        <v>0</v>
      </c>
      <c r="C1" s="2" t="s">
        <v>139</v>
      </c>
      <c r="D1" s="3" t="s">
        <v>78</v>
      </c>
      <c r="E1" s="3" t="s">
        <v>1</v>
      </c>
      <c r="F1" s="4" t="s">
        <v>79</v>
      </c>
      <c r="G1" s="3" t="s">
        <v>2</v>
      </c>
      <c r="H1" s="3" t="s">
        <v>3</v>
      </c>
      <c r="I1" s="5" t="s">
        <v>4</v>
      </c>
      <c r="J1" s="6" t="s">
        <v>5</v>
      </c>
      <c r="K1" s="6" t="s">
        <v>80</v>
      </c>
      <c r="L1" s="3" t="s">
        <v>82</v>
      </c>
      <c r="M1" s="3" t="s">
        <v>83</v>
      </c>
      <c r="N1" s="3" t="s">
        <v>6</v>
      </c>
      <c r="O1" s="3" t="s">
        <v>84</v>
      </c>
      <c r="P1" s="6" t="s">
        <v>85</v>
      </c>
      <c r="Q1" s="7" t="s">
        <v>7</v>
      </c>
      <c r="R1" s="93" t="s">
        <v>8</v>
      </c>
    </row>
    <row r="2" spans="1:18" ht="15" customHeight="1" thickBot="1" x14ac:dyDescent="0.35">
      <c r="A2" s="8" t="s">
        <v>9</v>
      </c>
      <c r="B2" s="9" t="s">
        <v>0</v>
      </c>
      <c r="C2" s="10"/>
      <c r="D2" s="11">
        <v>74.2</v>
      </c>
      <c r="E2" s="11">
        <v>219.8</v>
      </c>
      <c r="F2" s="11">
        <v>244</v>
      </c>
      <c r="G2" s="11">
        <v>49</v>
      </c>
      <c r="H2" s="11">
        <v>1206</v>
      </c>
      <c r="I2" s="11">
        <v>4006</v>
      </c>
      <c r="J2" s="11">
        <v>5495</v>
      </c>
      <c r="K2" s="11">
        <v>5420.8</v>
      </c>
      <c r="L2" s="11">
        <v>0</v>
      </c>
      <c r="M2" s="11">
        <v>0</v>
      </c>
      <c r="N2" s="11">
        <v>1262</v>
      </c>
      <c r="O2" s="11">
        <v>1460</v>
      </c>
      <c r="P2" s="11">
        <v>3.7</v>
      </c>
      <c r="Q2" s="11">
        <v>18499</v>
      </c>
      <c r="R2" s="10"/>
    </row>
    <row r="3" spans="1:18" ht="15" customHeight="1" thickBot="1" x14ac:dyDescent="0.35">
      <c r="A3" s="14">
        <v>4.1700000000000001E-2</v>
      </c>
      <c r="B3" s="20" t="s">
        <v>121</v>
      </c>
      <c r="C3" s="50" t="s">
        <v>3</v>
      </c>
      <c r="D3" s="37">
        <v>0.2</v>
      </c>
      <c r="E3" s="37">
        <v>4.8</v>
      </c>
      <c r="F3" s="94">
        <v>5</v>
      </c>
      <c r="G3" s="20"/>
      <c r="H3" s="37">
        <v>42</v>
      </c>
      <c r="I3" s="37">
        <v>72</v>
      </c>
      <c r="J3" s="37">
        <v>120</v>
      </c>
      <c r="K3" s="37">
        <v>119.8</v>
      </c>
      <c r="L3" s="51"/>
      <c r="M3" s="51"/>
      <c r="N3" s="95">
        <v>24</v>
      </c>
      <c r="O3" s="95">
        <v>24</v>
      </c>
      <c r="P3" s="94">
        <v>4.99</v>
      </c>
      <c r="Q3" s="48">
        <v>594</v>
      </c>
      <c r="R3" s="96" t="s">
        <v>196</v>
      </c>
    </row>
    <row r="4" spans="1:18" ht="15" customHeight="1" thickBot="1" x14ac:dyDescent="0.35">
      <c r="A4" s="14">
        <v>3.0300000000000001E-2</v>
      </c>
      <c r="B4" s="20" t="s">
        <v>183</v>
      </c>
      <c r="C4" s="50" t="s">
        <v>140</v>
      </c>
      <c r="D4" s="37">
        <v>0</v>
      </c>
      <c r="E4" s="37">
        <v>3.96</v>
      </c>
      <c r="F4" s="94">
        <v>3</v>
      </c>
      <c r="G4" s="20"/>
      <c r="H4" s="37">
        <v>20</v>
      </c>
      <c r="I4" s="37">
        <v>75</v>
      </c>
      <c r="J4" s="37">
        <v>99</v>
      </c>
      <c r="K4" s="37">
        <v>99</v>
      </c>
      <c r="L4" s="51"/>
      <c r="M4" s="51"/>
      <c r="N4" s="95">
        <v>24</v>
      </c>
      <c r="O4" s="95">
        <v>22</v>
      </c>
      <c r="P4" s="94">
        <v>4.5</v>
      </c>
      <c r="Q4" s="48">
        <v>0</v>
      </c>
      <c r="R4" s="41" t="s">
        <v>13</v>
      </c>
    </row>
    <row r="5" spans="1:18" ht="15" customHeight="1" thickBot="1" x14ac:dyDescent="0.35">
      <c r="A5" s="14">
        <v>4.2900000000000001E-2</v>
      </c>
      <c r="B5" s="20" t="s">
        <v>102</v>
      </c>
      <c r="C5" s="50" t="s">
        <v>140</v>
      </c>
      <c r="D5" s="37">
        <v>0.2</v>
      </c>
      <c r="E5" s="37">
        <v>2.8</v>
      </c>
      <c r="F5" s="94">
        <v>3</v>
      </c>
      <c r="G5" s="20"/>
      <c r="H5" s="37">
        <v>3</v>
      </c>
      <c r="I5" s="37">
        <v>63</v>
      </c>
      <c r="J5" s="37">
        <v>70</v>
      </c>
      <c r="K5" s="37">
        <v>69.8</v>
      </c>
      <c r="L5" s="51"/>
      <c r="M5" s="51"/>
      <c r="N5" s="95">
        <v>24</v>
      </c>
      <c r="O5" s="95">
        <v>25</v>
      </c>
      <c r="P5" s="94">
        <v>2.79</v>
      </c>
      <c r="Q5" s="48">
        <v>0</v>
      </c>
      <c r="R5" s="41" t="s">
        <v>13</v>
      </c>
    </row>
    <row r="6" spans="1:18" ht="15" customHeight="1" thickBot="1" x14ac:dyDescent="0.35">
      <c r="A6" s="16">
        <v>0</v>
      </c>
      <c r="B6" s="20" t="s">
        <v>138</v>
      </c>
      <c r="C6" s="50" t="s">
        <v>141</v>
      </c>
      <c r="D6" s="37">
        <v>0</v>
      </c>
      <c r="E6" s="37">
        <v>0.08</v>
      </c>
      <c r="F6" s="22"/>
      <c r="G6" s="20"/>
      <c r="H6" s="37">
        <v>2</v>
      </c>
      <c r="I6" s="20"/>
      <c r="J6" s="37">
        <v>2</v>
      </c>
      <c r="K6" s="37">
        <v>2</v>
      </c>
      <c r="L6" s="51"/>
      <c r="M6" s="51"/>
      <c r="N6" s="51"/>
      <c r="O6" s="95">
        <v>21</v>
      </c>
      <c r="P6" s="94">
        <v>0.1</v>
      </c>
      <c r="Q6" s="41" t="s">
        <v>13</v>
      </c>
      <c r="R6" s="41" t="s">
        <v>13</v>
      </c>
    </row>
    <row r="7" spans="1:18" ht="15" customHeight="1" thickBot="1" x14ac:dyDescent="0.35">
      <c r="A7" s="12">
        <v>7.3400000000000007E-2</v>
      </c>
      <c r="B7" s="20" t="s">
        <v>122</v>
      </c>
      <c r="C7" s="50" t="s">
        <v>3</v>
      </c>
      <c r="D7" s="37">
        <v>3.6</v>
      </c>
      <c r="E7" s="37">
        <v>4.3600000000000003</v>
      </c>
      <c r="F7" s="94">
        <v>8</v>
      </c>
      <c r="G7" s="37">
        <v>2</v>
      </c>
      <c r="H7" s="37">
        <v>33</v>
      </c>
      <c r="I7" s="37">
        <v>69</v>
      </c>
      <c r="J7" s="37">
        <v>109</v>
      </c>
      <c r="K7" s="37">
        <v>105.4</v>
      </c>
      <c r="L7" s="51"/>
      <c r="M7" s="51"/>
      <c r="N7" s="95">
        <v>23</v>
      </c>
      <c r="O7" s="95">
        <v>23</v>
      </c>
      <c r="P7" s="94">
        <v>4.58</v>
      </c>
      <c r="Q7" s="48">
        <v>353.44</v>
      </c>
      <c r="R7" s="97" t="s">
        <v>10</v>
      </c>
    </row>
    <row r="8" spans="1:18" ht="15" customHeight="1" thickBot="1" x14ac:dyDescent="0.35">
      <c r="A8" s="12">
        <v>7.6100000000000001E-2</v>
      </c>
      <c r="B8" s="20" t="s">
        <v>123</v>
      </c>
      <c r="C8" s="50" t="s">
        <v>140</v>
      </c>
      <c r="D8" s="37">
        <v>3.3</v>
      </c>
      <c r="E8" s="37">
        <v>3.68</v>
      </c>
      <c r="F8" s="94">
        <v>7</v>
      </c>
      <c r="G8" s="20"/>
      <c r="H8" s="37">
        <v>18</v>
      </c>
      <c r="I8" s="37">
        <v>70</v>
      </c>
      <c r="J8" s="37">
        <v>92</v>
      </c>
      <c r="K8" s="37">
        <v>88.7</v>
      </c>
      <c r="L8" s="51"/>
      <c r="M8" s="51"/>
      <c r="N8" s="95">
        <v>23</v>
      </c>
      <c r="O8" s="95">
        <v>22</v>
      </c>
      <c r="P8" s="94">
        <v>4.03</v>
      </c>
      <c r="Q8" s="48">
        <v>0</v>
      </c>
      <c r="R8" s="49" t="s">
        <v>13</v>
      </c>
    </row>
    <row r="9" spans="1:18" ht="15" customHeight="1" thickBot="1" x14ac:dyDescent="0.35">
      <c r="A9" s="16">
        <v>0</v>
      </c>
      <c r="B9" s="20" t="s">
        <v>14</v>
      </c>
      <c r="C9" s="50" t="s">
        <v>141</v>
      </c>
      <c r="D9" s="37">
        <v>0</v>
      </c>
      <c r="E9" s="37">
        <v>2.76</v>
      </c>
      <c r="F9" s="22"/>
      <c r="G9" s="20"/>
      <c r="H9" s="37">
        <v>1</v>
      </c>
      <c r="I9" s="37">
        <v>68</v>
      </c>
      <c r="J9" s="37">
        <v>69</v>
      </c>
      <c r="K9" s="37">
        <v>69</v>
      </c>
      <c r="L9" s="51"/>
      <c r="M9" s="51"/>
      <c r="N9" s="51"/>
      <c r="O9" s="95">
        <v>23</v>
      </c>
      <c r="P9" s="94">
        <v>3</v>
      </c>
      <c r="Q9" s="41" t="s">
        <v>13</v>
      </c>
      <c r="R9" s="41" t="s">
        <v>13</v>
      </c>
    </row>
    <row r="10" spans="1:18" ht="15" customHeight="1" thickBot="1" x14ac:dyDescent="0.35">
      <c r="A10" s="14">
        <v>0.03</v>
      </c>
      <c r="B10" s="20" t="s">
        <v>15</v>
      </c>
      <c r="C10" s="50" t="s">
        <v>142</v>
      </c>
      <c r="D10" s="37">
        <v>0</v>
      </c>
      <c r="E10" s="37">
        <v>4</v>
      </c>
      <c r="F10" s="94">
        <v>3</v>
      </c>
      <c r="G10" s="37">
        <v>5</v>
      </c>
      <c r="H10" s="37">
        <v>25</v>
      </c>
      <c r="I10" s="37">
        <v>67</v>
      </c>
      <c r="J10" s="37">
        <v>100</v>
      </c>
      <c r="K10" s="37">
        <v>100</v>
      </c>
      <c r="L10" s="51"/>
      <c r="M10" s="51"/>
      <c r="N10" s="95">
        <v>23</v>
      </c>
      <c r="O10" s="95">
        <v>23</v>
      </c>
      <c r="P10" s="94">
        <v>4.3499999999999996</v>
      </c>
      <c r="Q10" s="48">
        <v>678</v>
      </c>
      <c r="R10" s="97" t="s">
        <v>10</v>
      </c>
    </row>
    <row r="11" spans="1:18" ht="15" customHeight="1" thickBot="1" x14ac:dyDescent="0.35">
      <c r="A11" s="12">
        <v>9.1999999999999998E-2</v>
      </c>
      <c r="B11" s="20" t="s">
        <v>16</v>
      </c>
      <c r="C11" s="50" t="s">
        <v>140</v>
      </c>
      <c r="D11" s="37">
        <v>4.5</v>
      </c>
      <c r="E11" s="37">
        <v>3.48</v>
      </c>
      <c r="F11" s="94">
        <v>8</v>
      </c>
      <c r="G11" s="20"/>
      <c r="H11" s="37">
        <v>17</v>
      </c>
      <c r="I11" s="37">
        <v>66</v>
      </c>
      <c r="J11" s="37">
        <v>87</v>
      </c>
      <c r="K11" s="37">
        <v>82.5</v>
      </c>
      <c r="L11" s="51"/>
      <c r="M11" s="51"/>
      <c r="N11" s="95">
        <v>23</v>
      </c>
      <c r="O11" s="95">
        <v>21</v>
      </c>
      <c r="P11" s="94">
        <v>3.93</v>
      </c>
      <c r="Q11" s="48">
        <v>0</v>
      </c>
      <c r="R11" s="98" t="s">
        <v>12</v>
      </c>
    </row>
    <row r="12" spans="1:18" ht="15" customHeight="1" thickBot="1" x14ac:dyDescent="0.35">
      <c r="A12" s="16">
        <v>0</v>
      </c>
      <c r="B12" s="20" t="s">
        <v>17</v>
      </c>
      <c r="C12" s="50" t="s">
        <v>3</v>
      </c>
      <c r="D12" s="37">
        <v>0</v>
      </c>
      <c r="E12" s="37">
        <v>0.68</v>
      </c>
      <c r="F12" s="22"/>
      <c r="G12" s="37">
        <v>4</v>
      </c>
      <c r="H12" s="37">
        <v>1</v>
      </c>
      <c r="I12" s="37">
        <v>12</v>
      </c>
      <c r="J12" s="37">
        <v>17</v>
      </c>
      <c r="K12" s="37">
        <v>17</v>
      </c>
      <c r="L12" s="51"/>
      <c r="M12" s="51"/>
      <c r="N12" s="51"/>
      <c r="O12" s="95">
        <v>24</v>
      </c>
      <c r="P12" s="94">
        <v>0.71</v>
      </c>
      <c r="Q12" s="48">
        <v>51</v>
      </c>
      <c r="R12" s="97" t="s">
        <v>10</v>
      </c>
    </row>
    <row r="13" spans="1:18" ht="15" customHeight="1" thickBot="1" x14ac:dyDescent="0.35">
      <c r="A13" s="16">
        <v>8.8000000000000005E-3</v>
      </c>
      <c r="B13" s="20" t="s">
        <v>18</v>
      </c>
      <c r="C13" s="50" t="s">
        <v>141</v>
      </c>
      <c r="D13" s="37">
        <v>0</v>
      </c>
      <c r="E13" s="37">
        <v>4.5199999999999996</v>
      </c>
      <c r="F13" s="94">
        <v>1</v>
      </c>
      <c r="G13" s="20"/>
      <c r="H13" s="37">
        <v>44</v>
      </c>
      <c r="I13" s="37">
        <v>68</v>
      </c>
      <c r="J13" s="37">
        <v>113</v>
      </c>
      <c r="K13" s="37">
        <v>113</v>
      </c>
      <c r="L13" s="51"/>
      <c r="M13" s="51"/>
      <c r="N13" s="51"/>
      <c r="O13" s="95">
        <v>24</v>
      </c>
      <c r="P13" s="94">
        <v>4.71</v>
      </c>
      <c r="Q13" s="41" t="s">
        <v>13</v>
      </c>
      <c r="R13" s="41" t="s">
        <v>13</v>
      </c>
    </row>
    <row r="14" spans="1:18" ht="15" customHeight="1" thickBot="1" x14ac:dyDescent="0.35">
      <c r="A14" s="18">
        <v>5.8799999999999998E-2</v>
      </c>
      <c r="B14" s="20" t="s">
        <v>19</v>
      </c>
      <c r="C14" s="50" t="s">
        <v>140</v>
      </c>
      <c r="D14" s="37">
        <v>1.6</v>
      </c>
      <c r="E14" s="37">
        <v>3.4</v>
      </c>
      <c r="F14" s="94">
        <v>5</v>
      </c>
      <c r="G14" s="20"/>
      <c r="H14" s="37">
        <v>8</v>
      </c>
      <c r="I14" s="37">
        <v>71</v>
      </c>
      <c r="J14" s="37">
        <v>85</v>
      </c>
      <c r="K14" s="37">
        <v>83.4</v>
      </c>
      <c r="L14" s="51"/>
      <c r="M14" s="51"/>
      <c r="N14" s="95">
        <v>24</v>
      </c>
      <c r="O14" s="95">
        <v>23</v>
      </c>
      <c r="P14" s="94">
        <v>3.63</v>
      </c>
      <c r="Q14" s="48">
        <v>0</v>
      </c>
      <c r="R14" s="98" t="s">
        <v>12</v>
      </c>
    </row>
    <row r="15" spans="1:18" ht="15" customHeight="1" thickBot="1" x14ac:dyDescent="0.35">
      <c r="A15" s="18">
        <v>6.0600000000000001E-2</v>
      </c>
      <c r="B15" s="20" t="s">
        <v>20</v>
      </c>
      <c r="C15" s="50" t="s">
        <v>142</v>
      </c>
      <c r="D15" s="37">
        <v>2</v>
      </c>
      <c r="E15" s="37">
        <v>3.96</v>
      </c>
      <c r="F15" s="94">
        <v>6</v>
      </c>
      <c r="G15" s="37">
        <v>2</v>
      </c>
      <c r="H15" s="37">
        <v>18</v>
      </c>
      <c r="I15" s="37">
        <v>75</v>
      </c>
      <c r="J15" s="37">
        <v>99</v>
      </c>
      <c r="K15" s="37">
        <v>97</v>
      </c>
      <c r="L15" s="51"/>
      <c r="M15" s="51"/>
      <c r="N15" s="95">
        <v>24</v>
      </c>
      <c r="O15" s="95">
        <v>23</v>
      </c>
      <c r="P15" s="94">
        <v>4.22</v>
      </c>
      <c r="Q15" s="48">
        <v>665.84</v>
      </c>
      <c r="R15" s="97" t="s">
        <v>10</v>
      </c>
    </row>
    <row r="16" spans="1:18" ht="15" customHeight="1" thickBot="1" x14ac:dyDescent="0.35">
      <c r="A16" s="12">
        <v>8.43E-2</v>
      </c>
      <c r="B16" s="20" t="s">
        <v>21</v>
      </c>
      <c r="C16" s="50" t="s">
        <v>142</v>
      </c>
      <c r="D16" s="37">
        <v>3.7</v>
      </c>
      <c r="E16" s="37">
        <v>3.32</v>
      </c>
      <c r="F16" s="94">
        <v>7</v>
      </c>
      <c r="G16" s="20"/>
      <c r="H16" s="37">
        <v>22</v>
      </c>
      <c r="I16" s="37">
        <v>57</v>
      </c>
      <c r="J16" s="37">
        <v>83</v>
      </c>
      <c r="K16" s="37">
        <v>79.3</v>
      </c>
      <c r="L16" s="51"/>
      <c r="M16" s="51"/>
      <c r="N16" s="95">
        <v>24</v>
      </c>
      <c r="O16" s="95">
        <v>22</v>
      </c>
      <c r="P16" s="94">
        <v>3.61</v>
      </c>
      <c r="Q16" s="48">
        <v>609.28</v>
      </c>
      <c r="R16" s="97" t="s">
        <v>10</v>
      </c>
    </row>
    <row r="17" spans="1:18" ht="15" customHeight="1" thickBot="1" x14ac:dyDescent="0.35">
      <c r="A17" s="12">
        <v>0.22220000000000001</v>
      </c>
      <c r="B17" s="20" t="s">
        <v>124</v>
      </c>
      <c r="C17" s="50" t="s">
        <v>140</v>
      </c>
      <c r="D17" s="37">
        <v>3.3</v>
      </c>
      <c r="E17" s="37">
        <v>0.72</v>
      </c>
      <c r="F17" s="94">
        <v>4</v>
      </c>
      <c r="G17" s="20"/>
      <c r="H17" s="37">
        <v>8</v>
      </c>
      <c r="I17" s="37">
        <v>9</v>
      </c>
      <c r="J17" s="37">
        <v>18</v>
      </c>
      <c r="K17" s="37">
        <v>14.7</v>
      </c>
      <c r="L17" s="51"/>
      <c r="M17" s="51"/>
      <c r="N17" s="95">
        <v>23</v>
      </c>
      <c r="O17" s="95">
        <v>25</v>
      </c>
      <c r="P17" s="94">
        <v>0.59</v>
      </c>
      <c r="Q17" s="48">
        <v>0</v>
      </c>
      <c r="R17" s="98" t="s">
        <v>12</v>
      </c>
    </row>
    <row r="18" spans="1:18" ht="15" customHeight="1" thickBot="1" x14ac:dyDescent="0.35">
      <c r="A18" s="12">
        <v>9.2299999999999993E-2</v>
      </c>
      <c r="B18" s="20" t="s">
        <v>87</v>
      </c>
      <c r="C18" s="50" t="s">
        <v>140</v>
      </c>
      <c r="D18" s="37">
        <v>3.4</v>
      </c>
      <c r="E18" s="37">
        <v>2.6</v>
      </c>
      <c r="F18" s="94">
        <v>6</v>
      </c>
      <c r="G18" s="20"/>
      <c r="H18" s="37">
        <v>11</v>
      </c>
      <c r="I18" s="37">
        <v>46</v>
      </c>
      <c r="J18" s="37">
        <v>65</v>
      </c>
      <c r="K18" s="37">
        <v>61.6</v>
      </c>
      <c r="L18" s="51"/>
      <c r="M18" s="51"/>
      <c r="N18" s="95">
        <v>23</v>
      </c>
      <c r="O18" s="95">
        <v>18</v>
      </c>
      <c r="P18" s="94">
        <v>3.42</v>
      </c>
      <c r="Q18" s="48">
        <v>0</v>
      </c>
      <c r="R18" s="98" t="s">
        <v>12</v>
      </c>
    </row>
    <row r="19" spans="1:18" ht="15" customHeight="1" thickBot="1" x14ac:dyDescent="0.35">
      <c r="A19" s="12">
        <v>9.7100000000000006E-2</v>
      </c>
      <c r="B19" s="20" t="s">
        <v>22</v>
      </c>
      <c r="C19" s="50" t="s">
        <v>142</v>
      </c>
      <c r="D19" s="37">
        <v>5.9</v>
      </c>
      <c r="E19" s="37">
        <v>4.12</v>
      </c>
      <c r="F19" s="94">
        <v>10</v>
      </c>
      <c r="G19" s="20"/>
      <c r="H19" s="37">
        <v>27</v>
      </c>
      <c r="I19" s="37">
        <v>67</v>
      </c>
      <c r="J19" s="37">
        <v>103</v>
      </c>
      <c r="K19" s="37">
        <v>97.1</v>
      </c>
      <c r="L19" s="51"/>
      <c r="M19" s="51"/>
      <c r="N19" s="95">
        <v>24</v>
      </c>
      <c r="O19" s="95">
        <v>22</v>
      </c>
      <c r="P19" s="94">
        <v>4.41</v>
      </c>
      <c r="Q19" s="48">
        <v>680.48</v>
      </c>
      <c r="R19" s="97" t="s">
        <v>10</v>
      </c>
    </row>
    <row r="20" spans="1:18" ht="15" customHeight="1" thickBot="1" x14ac:dyDescent="0.35">
      <c r="A20" s="12">
        <v>7.4999999999999997E-2</v>
      </c>
      <c r="B20" s="20" t="s">
        <v>23</v>
      </c>
      <c r="C20" s="50" t="s">
        <v>3</v>
      </c>
      <c r="D20" s="37">
        <v>2.8</v>
      </c>
      <c r="E20" s="37">
        <v>3.2</v>
      </c>
      <c r="F20" s="94">
        <v>6</v>
      </c>
      <c r="G20" s="37">
        <v>3</v>
      </c>
      <c r="H20" s="37">
        <v>27</v>
      </c>
      <c r="I20" s="37">
        <v>46</v>
      </c>
      <c r="J20" s="37">
        <v>80</v>
      </c>
      <c r="K20" s="37">
        <v>77.2</v>
      </c>
      <c r="L20" s="51"/>
      <c r="M20" s="51"/>
      <c r="N20" s="95">
        <v>24</v>
      </c>
      <c r="O20" s="95">
        <v>22</v>
      </c>
      <c r="P20" s="94">
        <v>3.51</v>
      </c>
      <c r="Q20" s="48">
        <v>231.6</v>
      </c>
      <c r="R20" s="97" t="s">
        <v>10</v>
      </c>
    </row>
    <row r="21" spans="1:18" ht="15" customHeight="1" thickBot="1" x14ac:dyDescent="0.35">
      <c r="A21" s="19">
        <v>1.3299999999999999E-2</v>
      </c>
      <c r="B21" s="20" t="s">
        <v>88</v>
      </c>
      <c r="C21" s="50" t="s">
        <v>140</v>
      </c>
      <c r="D21" s="37">
        <v>0</v>
      </c>
      <c r="E21" s="37">
        <v>3</v>
      </c>
      <c r="F21" s="94">
        <v>1</v>
      </c>
      <c r="G21" s="20"/>
      <c r="H21" s="37">
        <v>6</v>
      </c>
      <c r="I21" s="37">
        <v>64</v>
      </c>
      <c r="J21" s="37">
        <v>75</v>
      </c>
      <c r="K21" s="37">
        <v>75</v>
      </c>
      <c r="L21" s="51"/>
      <c r="M21" s="51"/>
      <c r="N21" s="51"/>
      <c r="O21" s="95">
        <v>24</v>
      </c>
      <c r="P21" s="94">
        <v>3.13</v>
      </c>
      <c r="Q21" s="48">
        <v>0</v>
      </c>
      <c r="R21" s="98" t="s">
        <v>12</v>
      </c>
    </row>
    <row r="22" spans="1:18" ht="15" customHeight="1" thickBot="1" x14ac:dyDescent="0.35">
      <c r="A22" s="12">
        <v>7.8399999999999997E-2</v>
      </c>
      <c r="B22" s="20" t="s">
        <v>125</v>
      </c>
      <c r="C22" s="50" t="s">
        <v>3</v>
      </c>
      <c r="D22" s="37">
        <v>3.9</v>
      </c>
      <c r="E22" s="37">
        <v>4.08</v>
      </c>
      <c r="F22" s="94">
        <v>8</v>
      </c>
      <c r="G22" s="20"/>
      <c r="H22" s="37">
        <v>34</v>
      </c>
      <c r="I22" s="37">
        <v>66</v>
      </c>
      <c r="J22" s="37">
        <v>102</v>
      </c>
      <c r="K22" s="37">
        <v>98.1</v>
      </c>
      <c r="L22" s="51"/>
      <c r="M22" s="51"/>
      <c r="N22" s="95">
        <v>23</v>
      </c>
      <c r="O22" s="95">
        <v>23</v>
      </c>
      <c r="P22" s="94">
        <v>4.26</v>
      </c>
      <c r="Q22" s="48">
        <v>324.32</v>
      </c>
      <c r="R22" s="97" t="s">
        <v>10</v>
      </c>
    </row>
    <row r="23" spans="1:18" ht="15" customHeight="1" thickBot="1" x14ac:dyDescent="0.35">
      <c r="A23" s="12">
        <v>0.08</v>
      </c>
      <c r="B23" s="20" t="s">
        <v>126</v>
      </c>
      <c r="C23" s="50" t="s">
        <v>140</v>
      </c>
      <c r="D23" s="37">
        <v>2</v>
      </c>
      <c r="E23" s="37">
        <v>2</v>
      </c>
      <c r="F23" s="94">
        <v>4</v>
      </c>
      <c r="G23" s="20"/>
      <c r="H23" s="37">
        <v>7</v>
      </c>
      <c r="I23" s="37">
        <v>41</v>
      </c>
      <c r="J23" s="37">
        <v>50</v>
      </c>
      <c r="K23" s="37">
        <v>48</v>
      </c>
      <c r="L23" s="51"/>
      <c r="M23" s="51"/>
      <c r="N23" s="51"/>
      <c r="O23" s="95">
        <v>23</v>
      </c>
      <c r="P23" s="94">
        <v>2.09</v>
      </c>
      <c r="Q23" s="48">
        <v>0</v>
      </c>
      <c r="R23" s="98" t="s">
        <v>12</v>
      </c>
    </row>
    <row r="24" spans="1:18" ht="15" customHeight="1" thickBot="1" x14ac:dyDescent="0.35">
      <c r="A24" s="14">
        <v>3.1300000000000001E-2</v>
      </c>
      <c r="B24" s="20" t="s">
        <v>26</v>
      </c>
      <c r="C24" s="50" t="s">
        <v>143</v>
      </c>
      <c r="D24" s="37">
        <v>0</v>
      </c>
      <c r="E24" s="37">
        <v>1.28</v>
      </c>
      <c r="F24" s="94">
        <v>1</v>
      </c>
      <c r="G24" s="20"/>
      <c r="H24" s="37">
        <v>5</v>
      </c>
      <c r="I24" s="37">
        <v>27</v>
      </c>
      <c r="J24" s="37">
        <v>32</v>
      </c>
      <c r="K24" s="37">
        <v>32</v>
      </c>
      <c r="L24" s="51"/>
      <c r="M24" s="51"/>
      <c r="N24" s="51"/>
      <c r="O24" s="95">
        <v>23</v>
      </c>
      <c r="P24" s="94">
        <v>1.39</v>
      </c>
      <c r="Q24" s="48">
        <v>270.3</v>
      </c>
      <c r="R24" s="97" t="s">
        <v>10</v>
      </c>
    </row>
    <row r="25" spans="1:18" ht="15" customHeight="1" thickBot="1" x14ac:dyDescent="0.35">
      <c r="A25" s="14">
        <v>3.8100000000000002E-2</v>
      </c>
      <c r="B25" s="20" t="s">
        <v>27</v>
      </c>
      <c r="C25" s="50" t="s">
        <v>140</v>
      </c>
      <c r="D25" s="37">
        <v>0</v>
      </c>
      <c r="E25" s="37">
        <v>4.2</v>
      </c>
      <c r="F25" s="94">
        <v>4</v>
      </c>
      <c r="G25" s="20"/>
      <c r="H25" s="37">
        <v>14</v>
      </c>
      <c r="I25" s="37">
        <v>87</v>
      </c>
      <c r="J25" s="37">
        <v>105</v>
      </c>
      <c r="K25" s="37">
        <v>105</v>
      </c>
      <c r="L25" s="51"/>
      <c r="M25" s="51"/>
      <c r="N25" s="95">
        <v>23</v>
      </c>
      <c r="O25" s="95">
        <v>22</v>
      </c>
      <c r="P25" s="94">
        <v>4.7699999999999996</v>
      </c>
      <c r="Q25" s="48">
        <v>285</v>
      </c>
      <c r="R25" s="96" t="s">
        <v>196</v>
      </c>
    </row>
    <row r="26" spans="1:18" ht="15" customHeight="1" thickBot="1" x14ac:dyDescent="0.35">
      <c r="A26" s="18">
        <v>5.3800000000000001E-2</v>
      </c>
      <c r="B26" s="20" t="s">
        <v>127</v>
      </c>
      <c r="C26" s="50" t="s">
        <v>3</v>
      </c>
      <c r="D26" s="37">
        <v>1.3</v>
      </c>
      <c r="E26" s="37">
        <v>3.72</v>
      </c>
      <c r="F26" s="94">
        <v>5</v>
      </c>
      <c r="G26" s="20"/>
      <c r="H26" s="37">
        <v>15</v>
      </c>
      <c r="I26" s="37">
        <v>74</v>
      </c>
      <c r="J26" s="37">
        <v>93</v>
      </c>
      <c r="K26" s="37">
        <v>91.7</v>
      </c>
      <c r="L26" s="51"/>
      <c r="M26" s="51"/>
      <c r="N26" s="95">
        <v>23</v>
      </c>
      <c r="O26" s="95">
        <v>22</v>
      </c>
      <c r="P26" s="94">
        <v>4.17</v>
      </c>
      <c r="Q26" s="48">
        <v>314.88</v>
      </c>
      <c r="R26" s="97" t="s">
        <v>10</v>
      </c>
    </row>
    <row r="27" spans="1:18" ht="15" customHeight="1" thickBot="1" x14ac:dyDescent="0.35">
      <c r="A27" s="18">
        <v>5.7099999999999998E-2</v>
      </c>
      <c r="B27" s="20" t="s">
        <v>89</v>
      </c>
      <c r="C27" s="50" t="s">
        <v>140</v>
      </c>
      <c r="D27" s="37">
        <v>1.2</v>
      </c>
      <c r="E27" s="37">
        <v>2.8</v>
      </c>
      <c r="F27" s="94">
        <v>4</v>
      </c>
      <c r="G27" s="20"/>
      <c r="H27" s="37">
        <v>7</v>
      </c>
      <c r="I27" s="37">
        <v>60</v>
      </c>
      <c r="J27" s="37">
        <v>70</v>
      </c>
      <c r="K27" s="37">
        <v>68.8</v>
      </c>
      <c r="L27" s="51"/>
      <c r="M27" s="51"/>
      <c r="N27" s="95">
        <v>23</v>
      </c>
      <c r="O27" s="95">
        <v>21</v>
      </c>
      <c r="P27" s="94">
        <v>3.28</v>
      </c>
      <c r="Q27" s="48">
        <v>0</v>
      </c>
      <c r="R27" s="98" t="s">
        <v>12</v>
      </c>
    </row>
    <row r="28" spans="1:18" ht="15" customHeight="1" thickBot="1" x14ac:dyDescent="0.35">
      <c r="A28" s="19">
        <v>1.67E-2</v>
      </c>
      <c r="B28" s="20" t="s">
        <v>30</v>
      </c>
      <c r="C28" s="50" t="s">
        <v>3</v>
      </c>
      <c r="D28" s="37">
        <v>0</v>
      </c>
      <c r="E28" s="37">
        <v>2.4</v>
      </c>
      <c r="F28" s="94">
        <v>1</v>
      </c>
      <c r="G28" s="20"/>
      <c r="H28" s="37">
        <v>16</v>
      </c>
      <c r="I28" s="37">
        <v>43</v>
      </c>
      <c r="J28" s="37">
        <v>60</v>
      </c>
      <c r="K28" s="37">
        <v>60</v>
      </c>
      <c r="L28" s="51"/>
      <c r="M28" s="51"/>
      <c r="N28" s="95">
        <v>23</v>
      </c>
      <c r="O28" s="95">
        <v>23</v>
      </c>
      <c r="P28" s="94">
        <v>2.61</v>
      </c>
      <c r="Q28" s="48">
        <v>180</v>
      </c>
      <c r="R28" s="97" t="s">
        <v>10</v>
      </c>
    </row>
    <row r="29" spans="1:18" ht="15" customHeight="1" thickBot="1" x14ac:dyDescent="0.35">
      <c r="A29" s="14">
        <v>4.5499999999999999E-2</v>
      </c>
      <c r="B29" s="20" t="s">
        <v>31</v>
      </c>
      <c r="C29" s="50" t="s">
        <v>140</v>
      </c>
      <c r="D29" s="37">
        <v>0.2</v>
      </c>
      <c r="E29" s="37">
        <v>1.76</v>
      </c>
      <c r="F29" s="94">
        <v>2</v>
      </c>
      <c r="G29" s="20"/>
      <c r="H29" s="37">
        <v>7</v>
      </c>
      <c r="I29" s="37">
        <v>36</v>
      </c>
      <c r="J29" s="37">
        <v>44</v>
      </c>
      <c r="K29" s="37">
        <v>43.8</v>
      </c>
      <c r="L29" s="51"/>
      <c r="M29" s="51"/>
      <c r="N29" s="95">
        <v>16</v>
      </c>
      <c r="O29" s="95">
        <v>11</v>
      </c>
      <c r="P29" s="94">
        <v>3.98</v>
      </c>
      <c r="Q29" s="48">
        <v>0</v>
      </c>
      <c r="R29" s="41" t="s">
        <v>13</v>
      </c>
    </row>
    <row r="30" spans="1:18" ht="15" customHeight="1" thickBot="1" x14ac:dyDescent="0.35">
      <c r="A30" s="19">
        <v>2.1100000000000001E-2</v>
      </c>
      <c r="B30" s="20" t="s">
        <v>32</v>
      </c>
      <c r="C30" s="50" t="s">
        <v>3</v>
      </c>
      <c r="D30" s="37">
        <v>0</v>
      </c>
      <c r="E30" s="37">
        <v>3.8</v>
      </c>
      <c r="F30" s="94">
        <v>2</v>
      </c>
      <c r="G30" s="37">
        <v>2</v>
      </c>
      <c r="H30" s="37">
        <v>13</v>
      </c>
      <c r="I30" s="37">
        <v>77</v>
      </c>
      <c r="J30" s="37">
        <v>95</v>
      </c>
      <c r="K30" s="37">
        <v>95</v>
      </c>
      <c r="L30" s="51"/>
      <c r="M30" s="51"/>
      <c r="N30" s="95">
        <v>24</v>
      </c>
      <c r="O30" s="95">
        <v>23</v>
      </c>
      <c r="P30" s="94">
        <v>4.13</v>
      </c>
      <c r="Q30" s="48">
        <v>312</v>
      </c>
      <c r="R30" s="97" t="s">
        <v>10</v>
      </c>
    </row>
    <row r="31" spans="1:18" ht="15" customHeight="1" thickBot="1" x14ac:dyDescent="0.35">
      <c r="A31" s="12">
        <v>7.5600000000000001E-2</v>
      </c>
      <c r="B31" s="20" t="s">
        <v>33</v>
      </c>
      <c r="C31" s="50" t="s">
        <v>3</v>
      </c>
      <c r="D31" s="37">
        <v>4.2</v>
      </c>
      <c r="E31" s="37">
        <v>4.76</v>
      </c>
      <c r="F31" s="94">
        <v>9</v>
      </c>
      <c r="G31" s="20"/>
      <c r="H31" s="37">
        <v>52</v>
      </c>
      <c r="I31" s="37">
        <v>58</v>
      </c>
      <c r="J31" s="37">
        <v>119</v>
      </c>
      <c r="K31" s="37">
        <v>114.8</v>
      </c>
      <c r="L31" s="51"/>
      <c r="M31" s="51"/>
      <c r="N31" s="95">
        <v>24</v>
      </c>
      <c r="O31" s="95">
        <v>22</v>
      </c>
      <c r="P31" s="94">
        <v>5.22</v>
      </c>
      <c r="Q31" s="48">
        <v>628.55999999999995</v>
      </c>
      <c r="R31" s="97" t="s">
        <v>10</v>
      </c>
    </row>
    <row r="32" spans="1:18" ht="15" customHeight="1" thickBot="1" x14ac:dyDescent="0.35">
      <c r="A32" s="14">
        <v>3.2300000000000002E-2</v>
      </c>
      <c r="B32" s="20" t="s">
        <v>34</v>
      </c>
      <c r="C32" s="50" t="s">
        <v>140</v>
      </c>
      <c r="D32" s="37">
        <v>0</v>
      </c>
      <c r="E32" s="37">
        <v>1.24</v>
      </c>
      <c r="F32" s="94">
        <v>1</v>
      </c>
      <c r="G32" s="20"/>
      <c r="H32" s="37">
        <v>4</v>
      </c>
      <c r="I32" s="37">
        <v>27</v>
      </c>
      <c r="J32" s="37">
        <v>31</v>
      </c>
      <c r="K32" s="37">
        <v>31</v>
      </c>
      <c r="L32" s="51"/>
      <c r="M32" s="51"/>
      <c r="N32" s="95">
        <v>6</v>
      </c>
      <c r="O32" s="95">
        <v>6</v>
      </c>
      <c r="P32" s="94">
        <v>5.17</v>
      </c>
      <c r="Q32" s="49" t="s">
        <v>13</v>
      </c>
      <c r="R32" s="97" t="s">
        <v>10</v>
      </c>
    </row>
    <row r="33" spans="1:18" ht="15" customHeight="1" thickBot="1" x14ac:dyDescent="0.35">
      <c r="A33" s="14">
        <v>3.61E-2</v>
      </c>
      <c r="B33" s="20" t="s">
        <v>35</v>
      </c>
      <c r="C33" s="50" t="s">
        <v>3</v>
      </c>
      <c r="D33" s="37">
        <v>0</v>
      </c>
      <c r="E33" s="37">
        <v>3.32</v>
      </c>
      <c r="F33" s="94">
        <v>3</v>
      </c>
      <c r="G33" s="37">
        <v>3</v>
      </c>
      <c r="H33" s="37">
        <v>21</v>
      </c>
      <c r="I33" s="37">
        <v>57</v>
      </c>
      <c r="J33" s="37">
        <v>83</v>
      </c>
      <c r="K33" s="37">
        <v>83</v>
      </c>
      <c r="L33" s="51"/>
      <c r="M33" s="51"/>
      <c r="N33" s="95">
        <v>23</v>
      </c>
      <c r="O33" s="95">
        <v>16</v>
      </c>
      <c r="P33" s="94">
        <v>5.19</v>
      </c>
      <c r="Q33" s="48">
        <v>618</v>
      </c>
      <c r="R33" s="97" t="s">
        <v>10</v>
      </c>
    </row>
    <row r="34" spans="1:18" ht="15" customHeight="1" thickBot="1" x14ac:dyDescent="0.35">
      <c r="A34" s="12">
        <v>0.1013</v>
      </c>
      <c r="B34" s="20" t="s">
        <v>128</v>
      </c>
      <c r="C34" s="50" t="s">
        <v>140</v>
      </c>
      <c r="D34" s="37">
        <v>4.8</v>
      </c>
      <c r="E34" s="37">
        <v>3.16</v>
      </c>
      <c r="F34" s="94">
        <v>8</v>
      </c>
      <c r="G34" s="20"/>
      <c r="H34" s="37">
        <v>9</v>
      </c>
      <c r="I34" s="37">
        <v>64</v>
      </c>
      <c r="J34" s="37">
        <v>79</v>
      </c>
      <c r="K34" s="37">
        <v>74.2</v>
      </c>
      <c r="L34" s="51"/>
      <c r="M34" s="51"/>
      <c r="N34" s="95">
        <v>24</v>
      </c>
      <c r="O34" s="95">
        <v>18</v>
      </c>
      <c r="P34" s="94">
        <v>4.12</v>
      </c>
      <c r="Q34" s="48">
        <v>0</v>
      </c>
      <c r="R34" s="98" t="s">
        <v>12</v>
      </c>
    </row>
    <row r="35" spans="1:18" ht="15" customHeight="1" thickBot="1" x14ac:dyDescent="0.35">
      <c r="A35" s="12">
        <v>0.1045</v>
      </c>
      <c r="B35" s="20" t="s">
        <v>37</v>
      </c>
      <c r="C35" s="50" t="s">
        <v>142</v>
      </c>
      <c r="D35" s="37">
        <v>4.3</v>
      </c>
      <c r="E35" s="37">
        <v>2.68</v>
      </c>
      <c r="F35" s="94">
        <v>7</v>
      </c>
      <c r="G35" s="37">
        <v>1</v>
      </c>
      <c r="H35" s="37">
        <v>21</v>
      </c>
      <c r="I35" s="37">
        <v>39</v>
      </c>
      <c r="J35" s="37">
        <v>67</v>
      </c>
      <c r="K35" s="37">
        <v>62.7</v>
      </c>
      <c r="L35" s="51"/>
      <c r="M35" s="51"/>
      <c r="N35" s="95">
        <v>23</v>
      </c>
      <c r="O35" s="95">
        <v>21</v>
      </c>
      <c r="P35" s="94">
        <v>2.98</v>
      </c>
      <c r="Q35" s="48">
        <v>0</v>
      </c>
      <c r="R35" s="98" t="s">
        <v>12</v>
      </c>
    </row>
    <row r="36" spans="1:18" ht="15" customHeight="1" thickBot="1" x14ac:dyDescent="0.35">
      <c r="A36" s="18">
        <v>6.4100000000000004E-2</v>
      </c>
      <c r="B36" s="20" t="s">
        <v>129</v>
      </c>
      <c r="C36" s="50" t="s">
        <v>3</v>
      </c>
      <c r="D36" s="37">
        <v>1.9</v>
      </c>
      <c r="E36" s="37">
        <v>3.12</v>
      </c>
      <c r="F36" s="94">
        <v>5</v>
      </c>
      <c r="G36" s="20"/>
      <c r="H36" s="37">
        <v>18</v>
      </c>
      <c r="I36" s="37">
        <v>53</v>
      </c>
      <c r="J36" s="37">
        <v>78</v>
      </c>
      <c r="K36" s="37">
        <v>76.099999999999994</v>
      </c>
      <c r="L36" s="51"/>
      <c r="M36" s="51"/>
      <c r="N36" s="95">
        <v>23</v>
      </c>
      <c r="O36" s="95">
        <v>22</v>
      </c>
      <c r="P36" s="94">
        <v>3.46</v>
      </c>
      <c r="Q36" s="48">
        <v>228.36</v>
      </c>
      <c r="R36" s="97" t="s">
        <v>10</v>
      </c>
    </row>
    <row r="37" spans="1:18" ht="15" customHeight="1" thickBot="1" x14ac:dyDescent="0.35">
      <c r="A37" s="14">
        <v>4.2999999999999997E-2</v>
      </c>
      <c r="B37" s="20" t="s">
        <v>90</v>
      </c>
      <c r="C37" s="50" t="s">
        <v>140</v>
      </c>
      <c r="D37" s="37">
        <v>0.3</v>
      </c>
      <c r="E37" s="37">
        <v>3.72</v>
      </c>
      <c r="F37" s="94">
        <v>4</v>
      </c>
      <c r="G37" s="20"/>
      <c r="H37" s="37">
        <v>10</v>
      </c>
      <c r="I37" s="37">
        <v>80</v>
      </c>
      <c r="J37" s="37">
        <v>93</v>
      </c>
      <c r="K37" s="37">
        <v>92.7</v>
      </c>
      <c r="L37" s="51"/>
      <c r="M37" s="51"/>
      <c r="N37" s="95">
        <v>23</v>
      </c>
      <c r="O37" s="95">
        <v>20</v>
      </c>
      <c r="P37" s="94">
        <v>4.6399999999999997</v>
      </c>
      <c r="Q37" s="48">
        <v>0</v>
      </c>
      <c r="R37" s="98" t="s">
        <v>12</v>
      </c>
    </row>
    <row r="38" spans="1:18" ht="15" customHeight="1" thickBot="1" x14ac:dyDescent="0.35">
      <c r="A38" s="19">
        <v>1.7899999999999999E-2</v>
      </c>
      <c r="B38" s="20" t="s">
        <v>38</v>
      </c>
      <c r="C38" s="50" t="s">
        <v>3</v>
      </c>
      <c r="D38" s="37">
        <v>0</v>
      </c>
      <c r="E38" s="37">
        <v>6.72</v>
      </c>
      <c r="F38" s="94">
        <v>3</v>
      </c>
      <c r="G38" s="37">
        <v>4</v>
      </c>
      <c r="H38" s="37">
        <v>99</v>
      </c>
      <c r="I38" s="37">
        <v>62</v>
      </c>
      <c r="J38" s="37">
        <v>168</v>
      </c>
      <c r="K38" s="37">
        <v>168</v>
      </c>
      <c r="L38" s="51"/>
      <c r="M38" s="51"/>
      <c r="N38" s="95">
        <v>24</v>
      </c>
      <c r="O38" s="95">
        <v>24</v>
      </c>
      <c r="P38" s="94">
        <v>7</v>
      </c>
      <c r="Q38" s="48">
        <v>1200</v>
      </c>
      <c r="R38" s="41" t="s">
        <v>13</v>
      </c>
    </row>
    <row r="39" spans="1:18" ht="15" customHeight="1" thickBot="1" x14ac:dyDescent="0.35">
      <c r="A39" s="16">
        <v>8.0999999999999996E-3</v>
      </c>
      <c r="B39" s="20" t="s">
        <v>39</v>
      </c>
      <c r="C39" s="50" t="s">
        <v>142</v>
      </c>
      <c r="D39" s="37">
        <v>0</v>
      </c>
      <c r="E39" s="37">
        <v>4.92</v>
      </c>
      <c r="F39" s="94">
        <v>1</v>
      </c>
      <c r="G39" s="37">
        <v>2</v>
      </c>
      <c r="H39" s="37">
        <v>42</v>
      </c>
      <c r="I39" s="37">
        <v>76</v>
      </c>
      <c r="J39" s="37">
        <v>123</v>
      </c>
      <c r="K39" s="37">
        <v>123</v>
      </c>
      <c r="L39" s="51"/>
      <c r="M39" s="51"/>
      <c r="N39" s="95">
        <v>23</v>
      </c>
      <c r="O39" s="95">
        <v>24</v>
      </c>
      <c r="P39" s="94">
        <v>5.13</v>
      </c>
      <c r="Q39" s="48">
        <v>990</v>
      </c>
      <c r="R39" s="97" t="s">
        <v>10</v>
      </c>
    </row>
    <row r="40" spans="1:18" ht="15" customHeight="1" thickBot="1" x14ac:dyDescent="0.35">
      <c r="A40" s="19">
        <v>1.5699999999999999E-2</v>
      </c>
      <c r="B40" s="20" t="s">
        <v>40</v>
      </c>
      <c r="C40" s="50" t="s">
        <v>140</v>
      </c>
      <c r="D40" s="37">
        <v>0</v>
      </c>
      <c r="E40" s="37">
        <v>5.08</v>
      </c>
      <c r="F40" s="94">
        <v>2</v>
      </c>
      <c r="G40" s="20"/>
      <c r="H40" s="37">
        <v>10</v>
      </c>
      <c r="I40" s="37">
        <v>115</v>
      </c>
      <c r="J40" s="37">
        <v>127</v>
      </c>
      <c r="K40" s="37">
        <v>127</v>
      </c>
      <c r="L40" s="51"/>
      <c r="M40" s="51"/>
      <c r="N40" s="95">
        <v>21</v>
      </c>
      <c r="O40" s="95">
        <v>17</v>
      </c>
      <c r="P40" s="94">
        <v>7.47</v>
      </c>
      <c r="Q40" s="48">
        <v>964</v>
      </c>
      <c r="R40" s="41" t="s">
        <v>13</v>
      </c>
    </row>
    <row r="41" spans="1:18" ht="15" customHeight="1" thickBot="1" x14ac:dyDescent="0.35">
      <c r="A41" s="16">
        <v>0</v>
      </c>
      <c r="B41" s="20" t="s">
        <v>41</v>
      </c>
      <c r="C41" s="50" t="s">
        <v>142</v>
      </c>
      <c r="D41" s="37">
        <v>0</v>
      </c>
      <c r="E41" s="37">
        <v>0.12</v>
      </c>
      <c r="F41" s="22"/>
      <c r="G41" s="20"/>
      <c r="H41" s="37">
        <v>1</v>
      </c>
      <c r="I41" s="37">
        <v>2</v>
      </c>
      <c r="J41" s="37">
        <v>3</v>
      </c>
      <c r="K41" s="37">
        <v>3</v>
      </c>
      <c r="L41" s="51"/>
      <c r="M41" s="51"/>
      <c r="N41" s="95">
        <v>1</v>
      </c>
      <c r="O41" s="95">
        <v>1</v>
      </c>
      <c r="P41" s="94">
        <v>3</v>
      </c>
      <c r="Q41" s="49" t="s">
        <v>13</v>
      </c>
      <c r="R41" s="97" t="s">
        <v>10</v>
      </c>
    </row>
    <row r="42" spans="1:18" ht="15" customHeight="1" thickBot="1" x14ac:dyDescent="0.35">
      <c r="A42" s="14">
        <v>4.9599999999999998E-2</v>
      </c>
      <c r="B42" s="20" t="s">
        <v>42</v>
      </c>
      <c r="C42" s="50" t="s">
        <v>140</v>
      </c>
      <c r="D42" s="37">
        <v>1.2</v>
      </c>
      <c r="E42" s="37">
        <v>4.84</v>
      </c>
      <c r="F42" s="94">
        <v>6</v>
      </c>
      <c r="G42" s="37">
        <v>2</v>
      </c>
      <c r="H42" s="37">
        <v>14</v>
      </c>
      <c r="I42" s="37">
        <v>100</v>
      </c>
      <c r="J42" s="37">
        <v>121</v>
      </c>
      <c r="K42" s="37">
        <v>119.8</v>
      </c>
      <c r="L42" s="51"/>
      <c r="M42" s="51"/>
      <c r="N42" s="95">
        <v>23</v>
      </c>
      <c r="O42" s="95">
        <v>23</v>
      </c>
      <c r="P42" s="94">
        <v>5.21</v>
      </c>
      <c r="Q42" s="48">
        <v>319.36</v>
      </c>
      <c r="R42" s="97" t="s">
        <v>10</v>
      </c>
    </row>
    <row r="43" spans="1:18" ht="15" customHeight="1" thickBot="1" x14ac:dyDescent="0.35">
      <c r="A43" s="19">
        <v>2.4199999999999999E-2</v>
      </c>
      <c r="B43" s="20" t="s">
        <v>43</v>
      </c>
      <c r="C43" s="50" t="s">
        <v>142</v>
      </c>
      <c r="D43" s="37">
        <v>0</v>
      </c>
      <c r="E43" s="37">
        <v>4.96</v>
      </c>
      <c r="F43" s="94">
        <v>3</v>
      </c>
      <c r="G43" s="37">
        <v>2</v>
      </c>
      <c r="H43" s="37">
        <v>35</v>
      </c>
      <c r="I43" s="37">
        <v>83</v>
      </c>
      <c r="J43" s="37">
        <v>124</v>
      </c>
      <c r="K43" s="37">
        <v>124</v>
      </c>
      <c r="L43" s="51"/>
      <c r="M43" s="51"/>
      <c r="N43" s="95">
        <v>24</v>
      </c>
      <c r="O43" s="95">
        <v>22</v>
      </c>
      <c r="P43" s="94">
        <v>5.64</v>
      </c>
      <c r="Q43" s="48">
        <v>1224</v>
      </c>
      <c r="R43" s="97" t="s">
        <v>10</v>
      </c>
    </row>
    <row r="44" spans="1:18" ht="15" customHeight="1" thickBot="1" x14ac:dyDescent="0.35">
      <c r="A44" s="12">
        <v>0.1429</v>
      </c>
      <c r="B44" s="20" t="s">
        <v>44</v>
      </c>
      <c r="C44" s="50" t="s">
        <v>140</v>
      </c>
      <c r="D44" s="37">
        <v>0.7</v>
      </c>
      <c r="E44" s="37">
        <v>0.28000000000000003</v>
      </c>
      <c r="F44" s="94">
        <v>1</v>
      </c>
      <c r="G44" s="20"/>
      <c r="H44" s="37">
        <v>1</v>
      </c>
      <c r="I44" s="37">
        <v>6</v>
      </c>
      <c r="J44" s="37">
        <v>7</v>
      </c>
      <c r="K44" s="37">
        <v>6.3</v>
      </c>
      <c r="L44" s="51"/>
      <c r="M44" s="51"/>
      <c r="N44" s="95">
        <v>24</v>
      </c>
      <c r="O44" s="95">
        <v>18</v>
      </c>
      <c r="P44" s="94">
        <v>0.35</v>
      </c>
      <c r="Q44" s="48">
        <v>0</v>
      </c>
      <c r="R44" s="41" t="s">
        <v>13</v>
      </c>
    </row>
    <row r="45" spans="1:18" ht="15" customHeight="1" thickBot="1" x14ac:dyDescent="0.35">
      <c r="A45" s="19">
        <v>2.86E-2</v>
      </c>
      <c r="B45" s="20" t="s">
        <v>46</v>
      </c>
      <c r="C45" s="50" t="s">
        <v>140</v>
      </c>
      <c r="D45" s="37">
        <v>0</v>
      </c>
      <c r="E45" s="37">
        <v>4.2</v>
      </c>
      <c r="F45" s="94">
        <v>3</v>
      </c>
      <c r="G45" s="20"/>
      <c r="H45" s="37">
        <v>11</v>
      </c>
      <c r="I45" s="37">
        <v>88</v>
      </c>
      <c r="J45" s="37">
        <v>105</v>
      </c>
      <c r="K45" s="37">
        <v>105</v>
      </c>
      <c r="L45" s="51"/>
      <c r="M45" s="51"/>
      <c r="N45" s="95">
        <v>23</v>
      </c>
      <c r="O45" s="95">
        <v>20</v>
      </c>
      <c r="P45" s="94">
        <v>5.25</v>
      </c>
      <c r="Q45" s="48">
        <v>320</v>
      </c>
      <c r="R45" s="97" t="s">
        <v>10</v>
      </c>
    </row>
    <row r="46" spans="1:18" ht="15" customHeight="1" thickBot="1" x14ac:dyDescent="0.35">
      <c r="A46" s="16">
        <v>0</v>
      </c>
      <c r="B46" s="20" t="s">
        <v>47</v>
      </c>
      <c r="C46" s="50" t="s">
        <v>140</v>
      </c>
      <c r="D46" s="37">
        <v>0</v>
      </c>
      <c r="E46" s="37">
        <v>0.12</v>
      </c>
      <c r="F46" s="22"/>
      <c r="G46" s="20"/>
      <c r="H46" s="20"/>
      <c r="I46" s="37">
        <v>3</v>
      </c>
      <c r="J46" s="37">
        <v>3</v>
      </c>
      <c r="K46" s="37">
        <v>3</v>
      </c>
      <c r="L46" s="51"/>
      <c r="M46" s="51"/>
      <c r="N46" s="95">
        <v>24</v>
      </c>
      <c r="O46" s="95">
        <v>26</v>
      </c>
      <c r="P46" s="94">
        <v>0.12</v>
      </c>
      <c r="Q46" s="48">
        <v>0</v>
      </c>
      <c r="R46" s="98" t="s">
        <v>12</v>
      </c>
    </row>
    <row r="47" spans="1:18" ht="15" customHeight="1" thickBot="1" x14ac:dyDescent="0.35">
      <c r="A47" s="14">
        <v>3.2099999999999997E-2</v>
      </c>
      <c r="B47" s="20" t="s">
        <v>48</v>
      </c>
      <c r="C47" s="50" t="s">
        <v>140</v>
      </c>
      <c r="D47" s="37">
        <v>0</v>
      </c>
      <c r="E47" s="37">
        <v>6.24</v>
      </c>
      <c r="F47" s="94">
        <v>5</v>
      </c>
      <c r="G47" s="20"/>
      <c r="H47" s="37">
        <v>17</v>
      </c>
      <c r="I47" s="37">
        <v>130</v>
      </c>
      <c r="J47" s="37">
        <v>156</v>
      </c>
      <c r="K47" s="37">
        <v>156</v>
      </c>
      <c r="L47" s="51"/>
      <c r="M47" s="51"/>
      <c r="N47" s="95">
        <v>23</v>
      </c>
      <c r="O47" s="95">
        <v>22</v>
      </c>
      <c r="P47" s="94">
        <v>7.09</v>
      </c>
      <c r="Q47" s="48">
        <v>916</v>
      </c>
      <c r="R47" s="97" t="s">
        <v>10</v>
      </c>
    </row>
    <row r="48" spans="1:18" ht="15" customHeight="1" thickBot="1" x14ac:dyDescent="0.35">
      <c r="A48" s="16">
        <v>0</v>
      </c>
      <c r="B48" s="20" t="s">
        <v>130</v>
      </c>
      <c r="C48" s="50" t="s">
        <v>141</v>
      </c>
      <c r="D48" s="37">
        <v>0</v>
      </c>
      <c r="E48" s="37">
        <v>0.24</v>
      </c>
      <c r="F48" s="22"/>
      <c r="G48" s="20"/>
      <c r="H48" s="20"/>
      <c r="I48" s="37">
        <v>6</v>
      </c>
      <c r="J48" s="37">
        <v>6</v>
      </c>
      <c r="K48" s="37">
        <v>6</v>
      </c>
      <c r="L48" s="51"/>
      <c r="M48" s="51"/>
      <c r="N48" s="51"/>
      <c r="O48" s="95">
        <v>22</v>
      </c>
      <c r="P48" s="94">
        <v>0.27</v>
      </c>
      <c r="Q48" s="41" t="s">
        <v>13</v>
      </c>
      <c r="R48" s="41" t="s">
        <v>13</v>
      </c>
    </row>
    <row r="49" spans="1:18" ht="15" customHeight="1" thickBot="1" x14ac:dyDescent="0.35">
      <c r="A49" s="19">
        <v>1.0500000000000001E-2</v>
      </c>
      <c r="B49" s="20" t="s">
        <v>49</v>
      </c>
      <c r="C49" s="50" t="s">
        <v>141</v>
      </c>
      <c r="D49" s="37">
        <v>0</v>
      </c>
      <c r="E49" s="37">
        <v>3.8</v>
      </c>
      <c r="F49" s="94">
        <v>1</v>
      </c>
      <c r="G49" s="20"/>
      <c r="H49" s="37">
        <v>21</v>
      </c>
      <c r="I49" s="37">
        <v>72</v>
      </c>
      <c r="J49" s="37">
        <v>95</v>
      </c>
      <c r="K49" s="37">
        <v>95</v>
      </c>
      <c r="L49" s="51"/>
      <c r="M49" s="51"/>
      <c r="N49" s="51"/>
      <c r="O49" s="95">
        <v>25</v>
      </c>
      <c r="P49" s="94">
        <v>3.8</v>
      </c>
      <c r="Q49" s="41" t="s">
        <v>13</v>
      </c>
      <c r="R49" s="41" t="s">
        <v>13</v>
      </c>
    </row>
    <row r="50" spans="1:18" ht="15" customHeight="1" thickBot="1" x14ac:dyDescent="0.35">
      <c r="A50" s="18">
        <v>5.8799999999999998E-2</v>
      </c>
      <c r="B50" s="20" t="s">
        <v>50</v>
      </c>
      <c r="C50" s="50" t="s">
        <v>3</v>
      </c>
      <c r="D50" s="37">
        <v>1.6</v>
      </c>
      <c r="E50" s="37">
        <v>3.4</v>
      </c>
      <c r="F50" s="94">
        <v>5</v>
      </c>
      <c r="G50" s="20"/>
      <c r="H50" s="37">
        <v>35</v>
      </c>
      <c r="I50" s="37">
        <v>48</v>
      </c>
      <c r="J50" s="37">
        <v>85</v>
      </c>
      <c r="K50" s="37">
        <v>83.4</v>
      </c>
      <c r="L50" s="51"/>
      <c r="M50" s="51"/>
      <c r="N50" s="95">
        <v>23</v>
      </c>
      <c r="O50" s="95">
        <v>22</v>
      </c>
      <c r="P50" s="94">
        <v>3.79</v>
      </c>
      <c r="Q50" s="48">
        <v>250.2</v>
      </c>
      <c r="R50" s="97" t="s">
        <v>10</v>
      </c>
    </row>
    <row r="51" spans="1:18" ht="15" customHeight="1" thickBot="1" x14ac:dyDescent="0.35">
      <c r="A51" s="14">
        <v>4.6899999999999997E-2</v>
      </c>
      <c r="B51" s="20" t="s">
        <v>51</v>
      </c>
      <c r="C51" s="50" t="s">
        <v>3</v>
      </c>
      <c r="D51" s="37">
        <v>0.4</v>
      </c>
      <c r="E51" s="37">
        <v>2.56</v>
      </c>
      <c r="F51" s="94">
        <v>3</v>
      </c>
      <c r="G51" s="20"/>
      <c r="H51" s="37">
        <v>9</v>
      </c>
      <c r="I51" s="37">
        <v>52</v>
      </c>
      <c r="J51" s="37">
        <v>64</v>
      </c>
      <c r="K51" s="37">
        <v>63.6</v>
      </c>
      <c r="L51" s="51"/>
      <c r="M51" s="51"/>
      <c r="N51" s="95">
        <v>21</v>
      </c>
      <c r="O51" s="95">
        <v>20</v>
      </c>
      <c r="P51" s="94">
        <v>3.18</v>
      </c>
      <c r="Q51" s="48">
        <v>190.68</v>
      </c>
      <c r="R51" s="41" t="s">
        <v>13</v>
      </c>
    </row>
    <row r="52" spans="1:18" ht="15" customHeight="1" thickBot="1" x14ac:dyDescent="0.35">
      <c r="A52" s="16">
        <v>0</v>
      </c>
      <c r="B52" s="20" t="s">
        <v>131</v>
      </c>
      <c r="C52" s="50" t="s">
        <v>3</v>
      </c>
      <c r="D52" s="37">
        <v>0</v>
      </c>
      <c r="E52" s="37">
        <v>0.68</v>
      </c>
      <c r="F52" s="22"/>
      <c r="G52" s="20"/>
      <c r="H52" s="37">
        <v>4</v>
      </c>
      <c r="I52" s="37">
        <v>13</v>
      </c>
      <c r="J52" s="37">
        <v>17</v>
      </c>
      <c r="K52" s="37">
        <v>17</v>
      </c>
      <c r="L52" s="51"/>
      <c r="M52" s="51"/>
      <c r="N52" s="95">
        <v>23</v>
      </c>
      <c r="O52" s="95">
        <v>9</v>
      </c>
      <c r="P52" s="94">
        <v>1.89</v>
      </c>
      <c r="Q52" s="48">
        <v>51</v>
      </c>
      <c r="R52" s="41" t="s">
        <v>13</v>
      </c>
    </row>
    <row r="53" spans="1:18" ht="15" customHeight="1" thickBot="1" x14ac:dyDescent="0.35">
      <c r="A53" s="14">
        <v>4.6699999999999998E-2</v>
      </c>
      <c r="B53" s="20" t="s">
        <v>53</v>
      </c>
      <c r="C53" s="50" t="s">
        <v>13</v>
      </c>
      <c r="D53" s="37">
        <v>0.7</v>
      </c>
      <c r="E53" s="37">
        <v>4.28</v>
      </c>
      <c r="F53" s="94">
        <v>5</v>
      </c>
      <c r="G53" s="20"/>
      <c r="H53" s="37">
        <v>23</v>
      </c>
      <c r="I53" s="37">
        <v>79</v>
      </c>
      <c r="J53" s="37">
        <v>107</v>
      </c>
      <c r="K53" s="37">
        <v>106.3</v>
      </c>
      <c r="L53" s="51"/>
      <c r="M53" s="51"/>
      <c r="N53" s="51"/>
      <c r="O53" s="95">
        <v>25</v>
      </c>
      <c r="P53" s="94">
        <v>4.25</v>
      </c>
      <c r="Q53" s="49" t="s">
        <v>13</v>
      </c>
      <c r="R53" s="49" t="s">
        <v>13</v>
      </c>
    </row>
    <row r="54" spans="1:18" ht="15" customHeight="1" thickBot="1" x14ac:dyDescent="0.35">
      <c r="A54" s="18">
        <v>5.1499999999999997E-2</v>
      </c>
      <c r="B54" s="20" t="s">
        <v>92</v>
      </c>
      <c r="C54" s="50" t="s">
        <v>3</v>
      </c>
      <c r="D54" s="37">
        <v>1.1000000000000001</v>
      </c>
      <c r="E54" s="37">
        <v>3.88</v>
      </c>
      <c r="F54" s="94">
        <v>5</v>
      </c>
      <c r="G54" s="20"/>
      <c r="H54" s="37">
        <v>25</v>
      </c>
      <c r="I54" s="37">
        <v>66</v>
      </c>
      <c r="J54" s="37">
        <v>97</v>
      </c>
      <c r="K54" s="37">
        <v>95.9</v>
      </c>
      <c r="L54" s="51"/>
      <c r="M54" s="51"/>
      <c r="N54" s="95">
        <v>24</v>
      </c>
      <c r="O54" s="95">
        <v>23</v>
      </c>
      <c r="P54" s="94">
        <v>4.17</v>
      </c>
      <c r="Q54" s="48">
        <v>590.79999999999995</v>
      </c>
      <c r="R54" s="96" t="s">
        <v>196</v>
      </c>
    </row>
    <row r="55" spans="1:18" ht="15" customHeight="1" thickBot="1" x14ac:dyDescent="0.35">
      <c r="A55" s="19">
        <v>2.7E-2</v>
      </c>
      <c r="B55" s="20" t="s">
        <v>132</v>
      </c>
      <c r="C55" s="50" t="s">
        <v>140</v>
      </c>
      <c r="D55" s="37">
        <v>0</v>
      </c>
      <c r="E55" s="37">
        <v>2.96</v>
      </c>
      <c r="F55" s="94">
        <v>2</v>
      </c>
      <c r="G55" s="20"/>
      <c r="H55" s="37">
        <v>15</v>
      </c>
      <c r="I55" s="37">
        <v>56</v>
      </c>
      <c r="J55" s="37">
        <v>74</v>
      </c>
      <c r="K55" s="37">
        <v>74</v>
      </c>
      <c r="L55" s="51"/>
      <c r="M55" s="51"/>
      <c r="N55" s="95">
        <v>23</v>
      </c>
      <c r="O55" s="95">
        <v>22</v>
      </c>
      <c r="P55" s="94">
        <v>3.36</v>
      </c>
      <c r="Q55" s="48">
        <v>0</v>
      </c>
      <c r="R55" s="98" t="s">
        <v>12</v>
      </c>
    </row>
    <row r="56" spans="1:18" ht="15" customHeight="1" thickBot="1" x14ac:dyDescent="0.35">
      <c r="A56" s="19">
        <v>1.0500000000000001E-2</v>
      </c>
      <c r="B56" s="20" t="s">
        <v>54</v>
      </c>
      <c r="C56" s="50" t="s">
        <v>140</v>
      </c>
      <c r="D56" s="37">
        <v>0</v>
      </c>
      <c r="E56" s="37">
        <v>3.8</v>
      </c>
      <c r="F56" s="94">
        <v>1</v>
      </c>
      <c r="G56" s="20"/>
      <c r="H56" s="37">
        <v>3</v>
      </c>
      <c r="I56" s="37">
        <v>88</v>
      </c>
      <c r="J56" s="37">
        <v>95</v>
      </c>
      <c r="K56" s="37">
        <v>95</v>
      </c>
      <c r="L56" s="51"/>
      <c r="M56" s="51"/>
      <c r="N56" s="95">
        <v>24</v>
      </c>
      <c r="O56" s="95">
        <v>21</v>
      </c>
      <c r="P56" s="94">
        <v>4.5199999999999996</v>
      </c>
      <c r="Q56" s="48">
        <v>0</v>
      </c>
      <c r="R56" s="98" t="s">
        <v>12</v>
      </c>
    </row>
    <row r="57" spans="1:18" ht="15" customHeight="1" thickBot="1" x14ac:dyDescent="0.35">
      <c r="A57" s="18">
        <v>5.9700000000000003E-2</v>
      </c>
      <c r="B57" s="20" t="s">
        <v>133</v>
      </c>
      <c r="C57" s="50" t="s">
        <v>3</v>
      </c>
      <c r="D57" s="37">
        <v>1.3</v>
      </c>
      <c r="E57" s="37">
        <v>2.68</v>
      </c>
      <c r="F57" s="94">
        <v>4</v>
      </c>
      <c r="G57" s="20"/>
      <c r="H57" s="37">
        <v>10</v>
      </c>
      <c r="I57" s="37">
        <v>56</v>
      </c>
      <c r="J57" s="37">
        <v>67</v>
      </c>
      <c r="K57" s="37">
        <v>65.7</v>
      </c>
      <c r="L57" s="51"/>
      <c r="M57" s="51"/>
      <c r="N57" s="95">
        <v>23</v>
      </c>
      <c r="O57" s="95">
        <v>19</v>
      </c>
      <c r="P57" s="94">
        <v>3.46</v>
      </c>
      <c r="Q57" s="48">
        <v>197.04</v>
      </c>
      <c r="R57" s="97" t="s">
        <v>10</v>
      </c>
    </row>
    <row r="58" spans="1:18" ht="15" customHeight="1" thickBot="1" x14ac:dyDescent="0.35">
      <c r="A58" s="16">
        <v>0</v>
      </c>
      <c r="B58" s="20" t="s">
        <v>55</v>
      </c>
      <c r="C58" s="50" t="s">
        <v>140</v>
      </c>
      <c r="D58" s="37">
        <v>0</v>
      </c>
      <c r="E58" s="37">
        <v>2.4</v>
      </c>
      <c r="F58" s="22"/>
      <c r="G58" s="20"/>
      <c r="H58" s="37">
        <v>20</v>
      </c>
      <c r="I58" s="37">
        <v>39</v>
      </c>
      <c r="J58" s="37">
        <v>60</v>
      </c>
      <c r="K58" s="37">
        <v>60</v>
      </c>
      <c r="L58" s="51"/>
      <c r="M58" s="51"/>
      <c r="N58" s="95">
        <v>23</v>
      </c>
      <c r="O58" s="95">
        <v>19</v>
      </c>
      <c r="P58" s="94">
        <v>3.16</v>
      </c>
      <c r="Q58" s="48">
        <v>0</v>
      </c>
      <c r="R58" s="98" t="s">
        <v>12</v>
      </c>
    </row>
    <row r="59" spans="1:18" ht="15" customHeight="1" thickBot="1" x14ac:dyDescent="0.35">
      <c r="A59" s="16">
        <v>0</v>
      </c>
      <c r="B59" s="20" t="s">
        <v>56</v>
      </c>
      <c r="C59" s="50" t="s">
        <v>3</v>
      </c>
      <c r="D59" s="37">
        <v>0</v>
      </c>
      <c r="E59" s="37">
        <v>1.24</v>
      </c>
      <c r="F59" s="22"/>
      <c r="G59" s="37">
        <v>11</v>
      </c>
      <c r="H59" s="37">
        <v>6</v>
      </c>
      <c r="I59" s="37">
        <v>14</v>
      </c>
      <c r="J59" s="37">
        <v>31</v>
      </c>
      <c r="K59" s="37">
        <v>31</v>
      </c>
      <c r="L59" s="52"/>
      <c r="M59" s="52"/>
      <c r="N59" s="51"/>
      <c r="O59" s="95">
        <v>23</v>
      </c>
      <c r="P59" s="94">
        <v>1.35</v>
      </c>
      <c r="Q59" s="48">
        <v>93</v>
      </c>
      <c r="R59" s="97" t="s">
        <v>10</v>
      </c>
    </row>
    <row r="60" spans="1:18" ht="15" customHeight="1" thickBot="1" x14ac:dyDescent="0.35">
      <c r="A60" s="12">
        <v>7.0300000000000001E-2</v>
      </c>
      <c r="B60" s="20" t="s">
        <v>57</v>
      </c>
      <c r="C60" s="50" t="s">
        <v>3</v>
      </c>
      <c r="D60" s="37">
        <v>3.9</v>
      </c>
      <c r="E60" s="37">
        <v>5.12</v>
      </c>
      <c r="F60" s="94">
        <v>9</v>
      </c>
      <c r="G60" s="20"/>
      <c r="H60" s="37">
        <v>16</v>
      </c>
      <c r="I60" s="37">
        <v>105</v>
      </c>
      <c r="J60" s="37">
        <v>128</v>
      </c>
      <c r="K60" s="37">
        <v>124.1</v>
      </c>
      <c r="L60" s="52"/>
      <c r="M60" s="52"/>
      <c r="N60" s="95">
        <v>24</v>
      </c>
      <c r="O60" s="95">
        <v>22</v>
      </c>
      <c r="P60" s="94">
        <v>5.64</v>
      </c>
      <c r="Q60" s="48">
        <v>684.72</v>
      </c>
      <c r="R60" s="97" t="s">
        <v>10</v>
      </c>
    </row>
    <row r="61" spans="1:18" ht="15" customHeight="1" thickBot="1" x14ac:dyDescent="0.35">
      <c r="A61" s="19">
        <v>2.06E-2</v>
      </c>
      <c r="B61" s="20" t="s">
        <v>58</v>
      </c>
      <c r="C61" s="50" t="s">
        <v>140</v>
      </c>
      <c r="D61" s="37">
        <v>0</v>
      </c>
      <c r="E61" s="37">
        <v>3.88</v>
      </c>
      <c r="F61" s="94">
        <v>2</v>
      </c>
      <c r="G61" s="20"/>
      <c r="H61" s="37">
        <v>35</v>
      </c>
      <c r="I61" s="37">
        <v>60</v>
      </c>
      <c r="J61" s="37">
        <v>97</v>
      </c>
      <c r="K61" s="37">
        <v>97</v>
      </c>
      <c r="L61" s="52"/>
      <c r="M61" s="52"/>
      <c r="N61" s="95">
        <v>24</v>
      </c>
      <c r="O61" s="95">
        <v>21</v>
      </c>
      <c r="P61" s="94">
        <v>4.62</v>
      </c>
      <c r="Q61" s="48">
        <v>0</v>
      </c>
      <c r="R61" s="98" t="s">
        <v>12</v>
      </c>
    </row>
    <row r="62" spans="1:18" ht="15" customHeight="1" thickBot="1" x14ac:dyDescent="0.35">
      <c r="A62" s="14">
        <v>4.0800000000000003E-2</v>
      </c>
      <c r="B62" s="20" t="s">
        <v>93</v>
      </c>
      <c r="C62" s="50" t="s">
        <v>140</v>
      </c>
      <c r="D62" s="37">
        <v>0.1</v>
      </c>
      <c r="E62" s="37">
        <v>3.92</v>
      </c>
      <c r="F62" s="94">
        <v>4</v>
      </c>
      <c r="G62" s="20"/>
      <c r="H62" s="37">
        <v>14</v>
      </c>
      <c r="I62" s="37">
        <v>79</v>
      </c>
      <c r="J62" s="37">
        <v>98</v>
      </c>
      <c r="K62" s="37">
        <v>97.9</v>
      </c>
      <c r="L62" s="52"/>
      <c r="M62" s="52"/>
      <c r="N62" s="95">
        <v>24</v>
      </c>
      <c r="O62" s="95">
        <v>21</v>
      </c>
      <c r="P62" s="94">
        <v>4.66</v>
      </c>
      <c r="Q62" s="48">
        <v>0</v>
      </c>
      <c r="R62" s="98" t="s">
        <v>12</v>
      </c>
    </row>
    <row r="63" spans="1:18" ht="15" customHeight="1" thickBot="1" x14ac:dyDescent="0.35">
      <c r="A63" s="14">
        <v>4.8500000000000001E-2</v>
      </c>
      <c r="B63" s="20" t="s">
        <v>59</v>
      </c>
      <c r="C63" s="50" t="s">
        <v>140</v>
      </c>
      <c r="D63" s="37">
        <v>0.9</v>
      </c>
      <c r="E63" s="37">
        <v>4.12</v>
      </c>
      <c r="F63" s="94">
        <v>5</v>
      </c>
      <c r="G63" s="20"/>
      <c r="H63" s="37">
        <v>4</v>
      </c>
      <c r="I63" s="37">
        <v>90</v>
      </c>
      <c r="J63" s="37">
        <v>103</v>
      </c>
      <c r="K63" s="37">
        <v>102.1</v>
      </c>
      <c r="L63" s="52"/>
      <c r="M63" s="52"/>
      <c r="N63" s="95">
        <v>23</v>
      </c>
      <c r="O63" s="95">
        <v>22</v>
      </c>
      <c r="P63" s="94">
        <v>4.6399999999999997</v>
      </c>
      <c r="Q63" s="48">
        <v>0</v>
      </c>
      <c r="R63" s="98" t="s">
        <v>12</v>
      </c>
    </row>
    <row r="64" spans="1:18" ht="15" customHeight="1" thickBot="1" x14ac:dyDescent="0.35">
      <c r="A64" s="14">
        <v>3.5999999999999997E-2</v>
      </c>
      <c r="B64" s="20" t="s">
        <v>60</v>
      </c>
      <c r="C64" s="50" t="s">
        <v>3</v>
      </c>
      <c r="D64" s="37">
        <v>0</v>
      </c>
      <c r="E64" s="37">
        <v>4.4400000000000004</v>
      </c>
      <c r="F64" s="94">
        <v>4</v>
      </c>
      <c r="G64" s="20"/>
      <c r="H64" s="37">
        <v>44</v>
      </c>
      <c r="I64" s="37">
        <v>62</v>
      </c>
      <c r="J64" s="37">
        <v>111</v>
      </c>
      <c r="K64" s="37">
        <v>111</v>
      </c>
      <c r="L64" s="52"/>
      <c r="M64" s="52"/>
      <c r="N64" s="95">
        <v>24</v>
      </c>
      <c r="O64" s="95">
        <v>24</v>
      </c>
      <c r="P64" s="94">
        <v>4.63</v>
      </c>
      <c r="Q64" s="48">
        <v>360</v>
      </c>
      <c r="R64" s="97" t="s">
        <v>10</v>
      </c>
    </row>
    <row r="65" spans="1:18" ht="15" customHeight="1" thickBot="1" x14ac:dyDescent="0.35">
      <c r="A65" s="19">
        <v>1.2200000000000001E-2</v>
      </c>
      <c r="B65" s="20" t="s">
        <v>61</v>
      </c>
      <c r="C65" s="50" t="s">
        <v>140</v>
      </c>
      <c r="D65" s="37">
        <v>0</v>
      </c>
      <c r="E65" s="37">
        <v>3.28</v>
      </c>
      <c r="F65" s="94">
        <v>1</v>
      </c>
      <c r="G65" s="37">
        <v>1</v>
      </c>
      <c r="H65" s="37">
        <v>9</v>
      </c>
      <c r="I65" s="37">
        <v>67</v>
      </c>
      <c r="J65" s="37">
        <v>82</v>
      </c>
      <c r="K65" s="37">
        <v>82</v>
      </c>
      <c r="L65" s="52"/>
      <c r="M65" s="52"/>
      <c r="N65" s="95">
        <v>23</v>
      </c>
      <c r="O65" s="95">
        <v>23</v>
      </c>
      <c r="P65" s="94">
        <v>3.57</v>
      </c>
      <c r="Q65" s="48">
        <v>0</v>
      </c>
      <c r="R65" s="98" t="s">
        <v>12</v>
      </c>
    </row>
    <row r="66" spans="1:18" ht="15" customHeight="1" thickBot="1" x14ac:dyDescent="0.35">
      <c r="A66" s="18">
        <v>6.7599999999999993E-2</v>
      </c>
      <c r="B66" s="20" t="s">
        <v>62</v>
      </c>
      <c r="C66" s="50" t="s">
        <v>140</v>
      </c>
      <c r="D66" s="37">
        <v>2</v>
      </c>
      <c r="E66" s="37">
        <v>2.96</v>
      </c>
      <c r="F66" s="94">
        <v>5</v>
      </c>
      <c r="G66" s="20"/>
      <c r="H66" s="37">
        <v>23</v>
      </c>
      <c r="I66" s="37">
        <v>47</v>
      </c>
      <c r="J66" s="37">
        <v>74</v>
      </c>
      <c r="K66" s="37">
        <v>72</v>
      </c>
      <c r="L66" s="52"/>
      <c r="M66" s="52"/>
      <c r="N66" s="95">
        <v>24</v>
      </c>
      <c r="O66" s="95">
        <v>21</v>
      </c>
      <c r="P66" s="94">
        <v>3.43</v>
      </c>
      <c r="Q66" s="48">
        <v>0</v>
      </c>
      <c r="R66" s="98" t="s">
        <v>12</v>
      </c>
    </row>
    <row r="67" spans="1:18" ht="15" customHeight="1" thickBot="1" x14ac:dyDescent="0.35">
      <c r="A67" s="14">
        <v>4.1300000000000003E-2</v>
      </c>
      <c r="B67" s="20" t="s">
        <v>64</v>
      </c>
      <c r="C67" s="50" t="s">
        <v>140</v>
      </c>
      <c r="D67" s="37">
        <v>0.2</v>
      </c>
      <c r="E67" s="37">
        <v>4.84</v>
      </c>
      <c r="F67" s="94">
        <v>5</v>
      </c>
      <c r="G67" s="20"/>
      <c r="H67" s="37">
        <v>20</v>
      </c>
      <c r="I67" s="37">
        <v>95</v>
      </c>
      <c r="J67" s="37">
        <v>121</v>
      </c>
      <c r="K67" s="37">
        <v>120.8</v>
      </c>
      <c r="L67" s="52"/>
      <c r="M67" s="52"/>
      <c r="N67" s="95">
        <v>24</v>
      </c>
      <c r="O67" s="95">
        <v>22</v>
      </c>
      <c r="P67" s="94">
        <v>5.49</v>
      </c>
      <c r="Q67" s="48">
        <v>343.36</v>
      </c>
      <c r="R67" s="97" t="s">
        <v>10</v>
      </c>
    </row>
    <row r="68" spans="1:18" ht="15" customHeight="1" thickBot="1" x14ac:dyDescent="0.35">
      <c r="A68" s="16">
        <v>0</v>
      </c>
      <c r="B68" s="20" t="s">
        <v>134</v>
      </c>
      <c r="C68" s="50" t="s">
        <v>141</v>
      </c>
      <c r="D68" s="37">
        <v>0</v>
      </c>
      <c r="E68" s="37">
        <v>0.08</v>
      </c>
      <c r="F68" s="22"/>
      <c r="G68" s="20"/>
      <c r="H68" s="20"/>
      <c r="I68" s="37">
        <v>2</v>
      </c>
      <c r="J68" s="37">
        <v>2</v>
      </c>
      <c r="K68" s="37">
        <v>2</v>
      </c>
      <c r="L68" s="52"/>
      <c r="M68" s="52"/>
      <c r="N68" s="51"/>
      <c r="O68" s="95">
        <v>20</v>
      </c>
      <c r="P68" s="94">
        <v>0.1</v>
      </c>
      <c r="Q68" s="41" t="s">
        <v>13</v>
      </c>
      <c r="R68" s="41" t="s">
        <v>13</v>
      </c>
    </row>
    <row r="69" spans="1:18" ht="15" customHeight="1" thickBot="1" x14ac:dyDescent="0.35">
      <c r="A69" s="16">
        <v>0</v>
      </c>
      <c r="B69" s="20" t="s">
        <v>65</v>
      </c>
      <c r="C69" s="50" t="s">
        <v>141</v>
      </c>
      <c r="D69" s="37">
        <v>0</v>
      </c>
      <c r="E69" s="37">
        <v>2.8</v>
      </c>
      <c r="F69" s="22"/>
      <c r="G69" s="20"/>
      <c r="H69" s="37">
        <v>7</v>
      </c>
      <c r="I69" s="37">
        <v>63</v>
      </c>
      <c r="J69" s="37">
        <v>70</v>
      </c>
      <c r="K69" s="37">
        <v>70</v>
      </c>
      <c r="L69" s="52"/>
      <c r="M69" s="52"/>
      <c r="N69" s="51"/>
      <c r="O69" s="95">
        <v>26</v>
      </c>
      <c r="P69" s="94">
        <v>2.69</v>
      </c>
      <c r="Q69" s="41" t="s">
        <v>13</v>
      </c>
      <c r="R69" s="41" t="s">
        <v>13</v>
      </c>
    </row>
    <row r="70" spans="1:18" ht="15" customHeight="1" thickBot="1" x14ac:dyDescent="0.35">
      <c r="A70" s="19">
        <v>2.8199999999999999E-2</v>
      </c>
      <c r="B70" s="20" t="s">
        <v>67</v>
      </c>
      <c r="C70" s="50" t="s">
        <v>140</v>
      </c>
      <c r="D70" s="37">
        <v>0</v>
      </c>
      <c r="E70" s="37">
        <v>2.84</v>
      </c>
      <c r="F70" s="94">
        <v>2</v>
      </c>
      <c r="G70" s="20"/>
      <c r="H70" s="37">
        <v>9</v>
      </c>
      <c r="I70" s="37">
        <v>59</v>
      </c>
      <c r="J70" s="37">
        <v>71</v>
      </c>
      <c r="K70" s="37">
        <v>71</v>
      </c>
      <c r="L70" s="52"/>
      <c r="M70" s="52"/>
      <c r="N70" s="95">
        <v>23</v>
      </c>
      <c r="O70" s="95">
        <v>21</v>
      </c>
      <c r="P70" s="94">
        <v>3.38</v>
      </c>
      <c r="Q70" s="48">
        <v>0</v>
      </c>
      <c r="R70" s="98" t="s">
        <v>12</v>
      </c>
    </row>
    <row r="71" spans="1:18" ht="15" customHeight="1" thickBot="1" x14ac:dyDescent="0.35">
      <c r="A71" s="18">
        <v>5.1700000000000003E-2</v>
      </c>
      <c r="B71" s="20" t="s">
        <v>69</v>
      </c>
      <c r="C71" s="50" t="s">
        <v>142</v>
      </c>
      <c r="D71" s="37">
        <v>1.4</v>
      </c>
      <c r="E71" s="37">
        <v>4.6399999999999997</v>
      </c>
      <c r="F71" s="94">
        <v>6</v>
      </c>
      <c r="G71" s="37">
        <v>5</v>
      </c>
      <c r="H71" s="37">
        <v>38</v>
      </c>
      <c r="I71" s="37">
        <v>69</v>
      </c>
      <c r="J71" s="37">
        <v>116</v>
      </c>
      <c r="K71" s="37">
        <v>114.6</v>
      </c>
      <c r="L71" s="52"/>
      <c r="M71" s="52"/>
      <c r="N71" s="95">
        <v>24</v>
      </c>
      <c r="O71" s="95">
        <v>23</v>
      </c>
      <c r="P71" s="94">
        <v>4.9800000000000004</v>
      </c>
      <c r="Q71" s="48">
        <v>966.84</v>
      </c>
      <c r="R71" s="97" t="s">
        <v>10</v>
      </c>
    </row>
    <row r="72" spans="1:18" ht="15" customHeight="1" thickBot="1" x14ac:dyDescent="0.35">
      <c r="A72" s="18">
        <v>6.6699999999999995E-2</v>
      </c>
      <c r="B72" s="20" t="s">
        <v>70</v>
      </c>
      <c r="C72" s="50" t="s">
        <v>140</v>
      </c>
      <c r="D72" s="37">
        <v>2.4</v>
      </c>
      <c r="E72" s="37">
        <v>3.6</v>
      </c>
      <c r="F72" s="94">
        <v>6</v>
      </c>
      <c r="G72" s="20"/>
      <c r="H72" s="37">
        <v>15</v>
      </c>
      <c r="I72" s="37">
        <v>71</v>
      </c>
      <c r="J72" s="37">
        <v>90</v>
      </c>
      <c r="K72" s="37">
        <v>87.6</v>
      </c>
      <c r="L72" s="52"/>
      <c r="M72" s="52"/>
      <c r="N72" s="95">
        <v>24</v>
      </c>
      <c r="O72" s="95">
        <v>23</v>
      </c>
      <c r="P72" s="94">
        <v>3.81</v>
      </c>
      <c r="Q72" s="48">
        <v>0</v>
      </c>
      <c r="R72" s="98" t="s">
        <v>12</v>
      </c>
    </row>
    <row r="73" spans="1:18" ht="15" customHeight="1" thickBot="1" x14ac:dyDescent="0.35">
      <c r="A73" s="16">
        <v>9.7000000000000003E-3</v>
      </c>
      <c r="B73" s="20" t="s">
        <v>71</v>
      </c>
      <c r="C73" s="50" t="s">
        <v>141</v>
      </c>
      <c r="D73" s="37">
        <v>0</v>
      </c>
      <c r="E73" s="37">
        <v>4.12</v>
      </c>
      <c r="F73" s="94">
        <v>1</v>
      </c>
      <c r="G73" s="20"/>
      <c r="H73" s="37">
        <v>42</v>
      </c>
      <c r="I73" s="37">
        <v>60</v>
      </c>
      <c r="J73" s="37">
        <v>103</v>
      </c>
      <c r="K73" s="37">
        <v>103</v>
      </c>
      <c r="L73" s="52"/>
      <c r="M73" s="52"/>
      <c r="N73" s="51"/>
      <c r="O73" s="95">
        <v>23</v>
      </c>
      <c r="P73" s="94">
        <v>4.4800000000000004</v>
      </c>
      <c r="Q73" s="41" t="s">
        <v>13</v>
      </c>
      <c r="R73" s="41" t="s">
        <v>13</v>
      </c>
    </row>
    <row r="74" spans="1:18" ht="15" customHeight="1" thickBot="1" x14ac:dyDescent="0.35">
      <c r="A74" s="16">
        <v>0</v>
      </c>
      <c r="B74" s="20" t="s">
        <v>72</v>
      </c>
      <c r="C74" s="50" t="s">
        <v>141</v>
      </c>
      <c r="D74" s="37">
        <v>0</v>
      </c>
      <c r="E74" s="37">
        <v>2.76</v>
      </c>
      <c r="F74" s="22"/>
      <c r="G74" s="20"/>
      <c r="H74" s="37">
        <v>5</v>
      </c>
      <c r="I74" s="37">
        <v>64</v>
      </c>
      <c r="J74" s="37">
        <v>69</v>
      </c>
      <c r="K74" s="37">
        <v>69</v>
      </c>
      <c r="L74" s="52"/>
      <c r="M74" s="52"/>
      <c r="N74" s="51"/>
      <c r="O74" s="95">
        <v>23</v>
      </c>
      <c r="P74" s="94">
        <v>3</v>
      </c>
      <c r="Q74" s="41" t="s">
        <v>13</v>
      </c>
      <c r="R74" s="41" t="s">
        <v>13</v>
      </c>
    </row>
    <row r="75" spans="1:18" ht="15" customHeight="1" thickBot="1" x14ac:dyDescent="0.35">
      <c r="A75" s="16">
        <v>0</v>
      </c>
      <c r="B75" s="20" t="s">
        <v>73</v>
      </c>
      <c r="C75" s="50" t="s">
        <v>3</v>
      </c>
      <c r="D75" s="37">
        <v>0</v>
      </c>
      <c r="E75" s="37">
        <v>1.56</v>
      </c>
      <c r="F75" s="22"/>
      <c r="G75" s="37">
        <v>11</v>
      </c>
      <c r="H75" s="37">
        <v>10</v>
      </c>
      <c r="I75" s="37">
        <v>18</v>
      </c>
      <c r="J75" s="37">
        <v>39</v>
      </c>
      <c r="K75" s="37">
        <v>39</v>
      </c>
      <c r="L75" s="52"/>
      <c r="M75" s="52"/>
      <c r="N75" s="51"/>
      <c r="O75" s="95">
        <v>24</v>
      </c>
      <c r="P75" s="94">
        <v>1.63</v>
      </c>
      <c r="Q75" s="48">
        <v>117</v>
      </c>
      <c r="R75" s="97" t="s">
        <v>10</v>
      </c>
    </row>
    <row r="76" spans="1:18" ht="15.6" customHeight="1" thickBot="1" x14ac:dyDescent="0.35">
      <c r="A76" s="14">
        <v>3.1300000000000001E-2</v>
      </c>
      <c r="B76" s="20" t="s">
        <v>74</v>
      </c>
      <c r="C76" s="50" t="s">
        <v>140</v>
      </c>
      <c r="D76" s="37">
        <v>0</v>
      </c>
      <c r="E76" s="37">
        <v>1.28</v>
      </c>
      <c r="F76" s="94">
        <v>1</v>
      </c>
      <c r="G76" s="20"/>
      <c r="H76" s="37">
        <v>10</v>
      </c>
      <c r="I76" s="37">
        <v>21</v>
      </c>
      <c r="J76" s="37">
        <v>32</v>
      </c>
      <c r="K76" s="37">
        <v>32</v>
      </c>
      <c r="L76" s="52"/>
      <c r="M76" s="52"/>
      <c r="N76" s="95">
        <v>8</v>
      </c>
      <c r="O76" s="95">
        <v>7</v>
      </c>
      <c r="P76" s="94">
        <v>4.57</v>
      </c>
      <c r="Q76" s="48">
        <v>0</v>
      </c>
      <c r="R76" s="98" t="s">
        <v>12</v>
      </c>
    </row>
    <row r="77" spans="1:18" ht="15.6" customHeight="1" thickBot="1" x14ac:dyDescent="0.35">
      <c r="A77" s="19">
        <v>1.12E-2</v>
      </c>
      <c r="B77" s="20" t="s">
        <v>75</v>
      </c>
      <c r="C77" s="50" t="s">
        <v>143</v>
      </c>
      <c r="D77" s="37">
        <v>0</v>
      </c>
      <c r="E77" s="37">
        <v>3.56</v>
      </c>
      <c r="F77" s="94">
        <v>1</v>
      </c>
      <c r="G77" s="20"/>
      <c r="H77" s="37">
        <v>13</v>
      </c>
      <c r="I77" s="37">
        <v>73</v>
      </c>
      <c r="J77" s="37">
        <v>89</v>
      </c>
      <c r="K77" s="37">
        <v>89</v>
      </c>
      <c r="L77" s="52"/>
      <c r="M77" s="52"/>
      <c r="N77" s="51"/>
      <c r="O77" s="95">
        <v>21</v>
      </c>
      <c r="P77" s="94">
        <v>4.24</v>
      </c>
      <c r="Q77" s="48">
        <v>138.94</v>
      </c>
      <c r="R77" s="97" t="s">
        <v>10</v>
      </c>
    </row>
    <row r="78" spans="1:18" ht="15.6" customHeight="1" thickBot="1" x14ac:dyDescent="0.35">
      <c r="A78" s="14">
        <v>4.2599999999999999E-2</v>
      </c>
      <c r="B78" s="20" t="s">
        <v>76</v>
      </c>
      <c r="C78" s="50" t="s">
        <v>3</v>
      </c>
      <c r="D78" s="37">
        <v>0.2</v>
      </c>
      <c r="E78" s="37">
        <v>3.76</v>
      </c>
      <c r="F78" s="94">
        <v>4</v>
      </c>
      <c r="G78" s="37">
        <v>2</v>
      </c>
      <c r="H78" s="37">
        <v>32</v>
      </c>
      <c r="I78" s="37">
        <v>56</v>
      </c>
      <c r="J78" s="37">
        <v>94</v>
      </c>
      <c r="K78" s="37">
        <v>93.8</v>
      </c>
      <c r="L78" s="52"/>
      <c r="M78" s="52"/>
      <c r="N78" s="95">
        <v>24</v>
      </c>
      <c r="O78" s="95">
        <v>21</v>
      </c>
      <c r="P78" s="94">
        <v>4.46</v>
      </c>
      <c r="Q78" s="48">
        <v>339.04</v>
      </c>
      <c r="R78" s="97" t="s">
        <v>10</v>
      </c>
    </row>
    <row r="79" spans="1:18" ht="15.6" customHeight="1" thickBot="1" x14ac:dyDescent="0.35">
      <c r="A79" s="16">
        <v>9.2999999999999992E-3</v>
      </c>
      <c r="B79" s="20" t="s">
        <v>77</v>
      </c>
      <c r="C79" s="50" t="s">
        <v>142</v>
      </c>
      <c r="D79" s="37">
        <v>0</v>
      </c>
      <c r="E79" s="37">
        <v>4.28</v>
      </c>
      <c r="F79" s="94">
        <v>1</v>
      </c>
      <c r="G79" s="20"/>
      <c r="H79" s="37">
        <v>31</v>
      </c>
      <c r="I79" s="37">
        <v>70</v>
      </c>
      <c r="J79" s="37">
        <v>107</v>
      </c>
      <c r="K79" s="37">
        <v>107</v>
      </c>
      <c r="L79" s="52"/>
      <c r="M79" s="52"/>
      <c r="N79" s="95">
        <v>23</v>
      </c>
      <c r="O79" s="95">
        <v>22</v>
      </c>
      <c r="P79" s="94">
        <v>4.8600000000000003</v>
      </c>
      <c r="Q79" s="48">
        <v>948</v>
      </c>
      <c r="R79" s="41" t="s">
        <v>13</v>
      </c>
    </row>
    <row r="80" spans="1:18" ht="15.6" customHeight="1" thickBot="1" x14ac:dyDescent="0.35">
      <c r="A80" s="19">
        <v>2.2200000000000001E-2</v>
      </c>
      <c r="B80" s="20" t="s">
        <v>135</v>
      </c>
      <c r="C80" s="50" t="s">
        <v>3</v>
      </c>
      <c r="D80" s="37">
        <v>0</v>
      </c>
      <c r="E80" s="37">
        <v>3.6</v>
      </c>
      <c r="F80" s="94">
        <v>2</v>
      </c>
      <c r="G80" s="20"/>
      <c r="H80" s="37">
        <v>12</v>
      </c>
      <c r="I80" s="37">
        <v>70</v>
      </c>
      <c r="J80" s="37">
        <v>90</v>
      </c>
      <c r="K80" s="37">
        <v>90</v>
      </c>
      <c r="L80" s="52"/>
      <c r="M80" s="52"/>
      <c r="N80" s="95">
        <v>24</v>
      </c>
      <c r="O80" s="95">
        <v>24</v>
      </c>
      <c r="P80" s="94">
        <v>3.75</v>
      </c>
      <c r="Q80" s="48">
        <v>270</v>
      </c>
      <c r="R80" s="97" t="s">
        <v>10</v>
      </c>
    </row>
    <row r="81" spans="1:18" ht="15.6" customHeight="1" thickBot="1" x14ac:dyDescent="0.35">
      <c r="A81" s="14">
        <v>4.2599999999999999E-2</v>
      </c>
      <c r="B81" s="20" t="s">
        <v>94</v>
      </c>
      <c r="C81" s="50" t="s">
        <v>140</v>
      </c>
      <c r="D81" s="37">
        <v>0.2</v>
      </c>
      <c r="E81" s="37">
        <v>3.76</v>
      </c>
      <c r="F81" s="94">
        <v>4</v>
      </c>
      <c r="G81" s="37">
        <v>1</v>
      </c>
      <c r="H81" s="37">
        <v>22</v>
      </c>
      <c r="I81" s="37">
        <v>67</v>
      </c>
      <c r="J81" s="37">
        <v>94</v>
      </c>
      <c r="K81" s="37">
        <v>93.8</v>
      </c>
      <c r="L81" s="52"/>
      <c r="M81" s="52"/>
      <c r="N81" s="95">
        <v>23</v>
      </c>
      <c r="O81" s="95">
        <v>22</v>
      </c>
      <c r="P81" s="94">
        <v>4.26</v>
      </c>
      <c r="Q81" s="48">
        <v>0</v>
      </c>
      <c r="R81" s="98" t="s">
        <v>12</v>
      </c>
    </row>
    <row r="82" spans="1:18" ht="15.6" customHeight="1" thickBot="1" x14ac:dyDescent="0.35">
      <c r="A82" s="12">
        <v>8.8200000000000001E-2</v>
      </c>
      <c r="B82" s="20" t="s">
        <v>136</v>
      </c>
      <c r="C82" s="50" t="s">
        <v>140</v>
      </c>
      <c r="D82" s="37">
        <v>3.3</v>
      </c>
      <c r="E82" s="37">
        <v>2.72</v>
      </c>
      <c r="F82" s="94">
        <v>6</v>
      </c>
      <c r="G82" s="20"/>
      <c r="H82" s="37">
        <v>3</v>
      </c>
      <c r="I82" s="37">
        <v>59</v>
      </c>
      <c r="J82" s="37">
        <v>68</v>
      </c>
      <c r="K82" s="37">
        <v>64.7</v>
      </c>
      <c r="L82" s="52"/>
      <c r="M82" s="52"/>
      <c r="N82" s="95">
        <v>24</v>
      </c>
      <c r="O82" s="95">
        <v>21</v>
      </c>
      <c r="P82" s="94">
        <v>3.08</v>
      </c>
      <c r="Q82" s="48">
        <v>0</v>
      </c>
      <c r="R82" s="98" t="s">
        <v>12</v>
      </c>
    </row>
    <row r="83" spans="1:18" ht="15.6" customHeight="1" thickBot="1" x14ac:dyDescent="0.35">
      <c r="A83" s="21"/>
      <c r="B83" s="20"/>
      <c r="C83" s="102"/>
      <c r="D83" s="102"/>
      <c r="E83" s="102"/>
      <c r="F83" s="102"/>
      <c r="G83" s="102"/>
      <c r="H83" s="102"/>
      <c r="I83" s="102"/>
      <c r="J83" s="102"/>
      <c r="K83" s="102"/>
      <c r="L83" s="30"/>
      <c r="M83" s="30"/>
      <c r="N83" s="30"/>
      <c r="O83" s="30"/>
      <c r="P83" s="30"/>
      <c r="Q83" s="30"/>
      <c r="R83" s="102"/>
    </row>
    <row r="84" spans="1:18" ht="15.6" customHeight="1" thickBot="1" x14ac:dyDescent="0.35">
      <c r="A84" s="22"/>
      <c r="B84" s="20"/>
      <c r="C84" s="38"/>
      <c r="D84" s="38"/>
      <c r="E84" s="38"/>
      <c r="F84" s="38"/>
      <c r="G84" s="38"/>
      <c r="H84" s="38"/>
      <c r="I84" s="38"/>
      <c r="J84" s="102"/>
      <c r="K84" s="102"/>
      <c r="L84" s="30"/>
      <c r="M84" s="30"/>
      <c r="N84" s="30"/>
      <c r="O84" s="30"/>
      <c r="P84" s="30"/>
      <c r="Q84" s="30"/>
      <c r="R84" s="102"/>
    </row>
    <row r="85" spans="1:18" ht="15" customHeight="1" thickBot="1" x14ac:dyDescent="0.35">
      <c r="A85" s="104" t="s">
        <v>95</v>
      </c>
      <c r="B85" s="23" t="s">
        <v>95</v>
      </c>
      <c r="C85" s="23" t="s">
        <v>144</v>
      </c>
      <c r="D85" s="39" t="s">
        <v>81</v>
      </c>
      <c r="E85" s="39" t="s">
        <v>82</v>
      </c>
      <c r="F85" s="39" t="s">
        <v>83</v>
      </c>
      <c r="G85" s="39" t="s">
        <v>6</v>
      </c>
      <c r="H85" s="39" t="s">
        <v>84</v>
      </c>
      <c r="I85" s="40" t="s">
        <v>96</v>
      </c>
      <c r="J85" s="102"/>
      <c r="K85" s="102"/>
      <c r="L85" s="30"/>
      <c r="M85" s="30"/>
      <c r="N85" s="30"/>
      <c r="O85" s="30"/>
      <c r="P85" s="30"/>
      <c r="Q85" s="30"/>
      <c r="R85" s="102"/>
    </row>
    <row r="86" spans="1:18" ht="15" customHeight="1" thickBot="1" x14ac:dyDescent="0.35">
      <c r="A86" s="105"/>
      <c r="B86" s="24" t="s">
        <v>97</v>
      </c>
      <c r="C86" s="53" t="s">
        <v>76</v>
      </c>
      <c r="D86" s="20"/>
      <c r="E86" s="41">
        <v>4</v>
      </c>
      <c r="F86" s="15"/>
      <c r="G86" s="41">
        <v>22</v>
      </c>
      <c r="H86" s="41">
        <v>18</v>
      </c>
      <c r="I86" s="42">
        <v>101.71</v>
      </c>
      <c r="J86" s="102"/>
      <c r="K86" s="102"/>
      <c r="L86" s="30"/>
      <c r="M86" s="30"/>
      <c r="N86" s="30"/>
      <c r="O86" s="30"/>
      <c r="P86" s="30"/>
      <c r="Q86" s="30"/>
      <c r="R86" s="30"/>
    </row>
    <row r="87" spans="1:18" ht="15" customHeight="1" thickBot="1" x14ac:dyDescent="0.35">
      <c r="A87" s="105"/>
      <c r="B87" s="24" t="s">
        <v>98</v>
      </c>
      <c r="C87" s="53" t="s">
        <v>20</v>
      </c>
      <c r="D87" s="38"/>
      <c r="E87" s="38"/>
      <c r="F87" s="15"/>
      <c r="G87" s="41">
        <v>22</v>
      </c>
      <c r="H87" s="41">
        <v>22</v>
      </c>
      <c r="I87" s="42">
        <v>199.75</v>
      </c>
      <c r="J87" s="102"/>
      <c r="K87" s="102"/>
      <c r="L87" s="30"/>
      <c r="M87" s="30"/>
      <c r="N87" s="30"/>
      <c r="O87" s="30"/>
      <c r="P87" s="30"/>
      <c r="Q87" s="30"/>
      <c r="R87" s="30"/>
    </row>
    <row r="88" spans="1:18" ht="15" customHeight="1" thickBot="1" x14ac:dyDescent="0.35">
      <c r="A88" s="105"/>
      <c r="B88" s="24" t="s">
        <v>99</v>
      </c>
      <c r="C88" s="53" t="s">
        <v>17</v>
      </c>
      <c r="D88" s="38"/>
      <c r="E88" s="20"/>
      <c r="F88" s="15"/>
      <c r="G88" s="41">
        <v>22</v>
      </c>
      <c r="H88" s="41">
        <v>22</v>
      </c>
      <c r="I88" s="42">
        <v>51</v>
      </c>
      <c r="J88" s="102"/>
      <c r="K88" s="102"/>
      <c r="L88" s="30"/>
      <c r="M88" s="30"/>
      <c r="N88" s="30"/>
      <c r="O88" s="30"/>
      <c r="P88" s="30"/>
      <c r="Q88" s="30"/>
      <c r="R88" s="30"/>
    </row>
    <row r="89" spans="1:18" ht="15" customHeight="1" thickBot="1" x14ac:dyDescent="0.35">
      <c r="A89" s="105"/>
      <c r="B89" s="24" t="s">
        <v>104</v>
      </c>
      <c r="C89" s="53" t="s">
        <v>15</v>
      </c>
      <c r="D89" s="38"/>
      <c r="E89" s="38"/>
      <c r="F89" s="15"/>
      <c r="G89" s="41">
        <v>22</v>
      </c>
      <c r="H89" s="41">
        <v>22</v>
      </c>
      <c r="I89" s="42">
        <v>203.4</v>
      </c>
      <c r="J89" s="102"/>
      <c r="K89" s="102"/>
      <c r="L89" s="30"/>
      <c r="M89" s="30"/>
      <c r="N89" s="30"/>
      <c r="O89" s="30"/>
      <c r="P89" s="30"/>
      <c r="Q89" s="30"/>
      <c r="R89" s="30"/>
    </row>
    <row r="90" spans="1:18" ht="15" customHeight="1" thickBot="1" x14ac:dyDescent="0.35">
      <c r="A90" s="105"/>
      <c r="B90" s="24" t="s">
        <v>100</v>
      </c>
      <c r="C90" s="53" t="s">
        <v>145</v>
      </c>
      <c r="D90" s="20"/>
      <c r="E90" s="20"/>
      <c r="F90" s="15"/>
      <c r="G90" s="41">
        <v>22</v>
      </c>
      <c r="H90" s="41">
        <v>22</v>
      </c>
      <c r="I90" s="42">
        <v>284.39999999999998</v>
      </c>
      <c r="J90" s="102"/>
      <c r="K90" s="102"/>
      <c r="L90" s="30"/>
      <c r="M90" s="30"/>
      <c r="N90" s="30"/>
      <c r="O90" s="30"/>
      <c r="P90" s="30"/>
      <c r="Q90" s="30"/>
      <c r="R90" s="30"/>
    </row>
    <row r="91" spans="1:18" ht="15" customHeight="1" thickBot="1" x14ac:dyDescent="0.35">
      <c r="A91" s="105"/>
      <c r="B91" s="24" t="s">
        <v>101</v>
      </c>
      <c r="C91" s="53" t="s">
        <v>43</v>
      </c>
      <c r="D91" s="38"/>
      <c r="E91" s="38"/>
      <c r="F91" s="20"/>
      <c r="G91" s="41">
        <v>22</v>
      </c>
      <c r="H91" s="41">
        <v>22</v>
      </c>
      <c r="I91" s="42">
        <v>367.2</v>
      </c>
      <c r="J91" s="102"/>
      <c r="K91" s="102"/>
      <c r="L91" s="30"/>
      <c r="M91" s="30"/>
      <c r="N91" s="30"/>
      <c r="O91" s="30"/>
      <c r="P91" s="30"/>
      <c r="Q91" s="30"/>
      <c r="R91" s="30"/>
    </row>
    <row r="92" spans="1:18" ht="15" customHeight="1" thickBot="1" x14ac:dyDescent="0.35">
      <c r="A92" s="105"/>
      <c r="B92" s="20"/>
      <c r="C92" s="20"/>
      <c r="D92" s="20"/>
      <c r="E92" s="20"/>
      <c r="F92" s="20"/>
      <c r="G92" s="41">
        <v>22</v>
      </c>
      <c r="H92" s="41">
        <v>22</v>
      </c>
      <c r="I92" s="41" t="s">
        <v>13</v>
      </c>
      <c r="J92" s="102"/>
      <c r="K92" s="102"/>
      <c r="L92" s="30"/>
      <c r="M92" s="30"/>
      <c r="N92" s="30"/>
      <c r="O92" s="30"/>
      <c r="P92" s="30"/>
      <c r="Q92" s="30"/>
      <c r="R92" s="30"/>
    </row>
    <row r="93" spans="1:18" ht="15" customHeight="1" thickBot="1" x14ac:dyDescent="0.35">
      <c r="A93" s="105"/>
      <c r="B93" s="24" t="s">
        <v>184</v>
      </c>
      <c r="C93" s="53" t="s">
        <v>22</v>
      </c>
      <c r="D93" s="20"/>
      <c r="E93" s="20"/>
      <c r="F93" s="20"/>
      <c r="G93" s="41">
        <v>22</v>
      </c>
      <c r="H93" s="41">
        <v>22</v>
      </c>
      <c r="I93" s="42">
        <v>204.14</v>
      </c>
      <c r="J93" s="43"/>
      <c r="K93" s="43"/>
      <c r="L93" s="25"/>
      <c r="M93" s="25"/>
      <c r="N93" s="25"/>
      <c r="O93" s="25"/>
      <c r="P93" s="25"/>
      <c r="Q93" s="25"/>
      <c r="R93" s="25"/>
    </row>
    <row r="94" spans="1:18" ht="15" customHeight="1" thickBot="1" x14ac:dyDescent="0.35">
      <c r="A94" s="105"/>
      <c r="B94" s="24" t="s">
        <v>197</v>
      </c>
      <c r="C94" s="99" t="s">
        <v>39</v>
      </c>
      <c r="D94" s="20"/>
      <c r="E94" s="20"/>
      <c r="F94" s="15"/>
      <c r="G94" s="41">
        <v>22</v>
      </c>
      <c r="H94" s="41">
        <v>22</v>
      </c>
      <c r="I94" s="42">
        <v>297</v>
      </c>
      <c r="J94" s="43"/>
      <c r="K94" s="43"/>
      <c r="L94" s="25"/>
      <c r="M94" s="102"/>
      <c r="N94" s="25"/>
      <c r="O94" s="25"/>
      <c r="P94" s="25"/>
      <c r="Q94" s="25"/>
      <c r="R94" s="25"/>
    </row>
    <row r="95" spans="1:18" ht="15" customHeight="1" thickBot="1" x14ac:dyDescent="0.35">
      <c r="A95" s="105"/>
      <c r="B95" s="20"/>
      <c r="C95" s="22"/>
      <c r="D95" s="20"/>
      <c r="E95" s="20"/>
      <c r="F95" s="20"/>
      <c r="G95" s="20"/>
      <c r="H95" s="20"/>
      <c r="I95" s="20"/>
      <c r="J95" s="102"/>
      <c r="K95" s="102"/>
      <c r="L95" s="30"/>
      <c r="M95" s="30"/>
      <c r="N95" s="30"/>
      <c r="O95" s="30"/>
      <c r="P95" s="30"/>
      <c r="Q95" s="30"/>
      <c r="R95" s="30"/>
    </row>
    <row r="96" spans="1:18" ht="15" customHeight="1" thickBot="1" x14ac:dyDescent="0.35">
      <c r="A96" s="105"/>
      <c r="B96" s="24" t="s">
        <v>103</v>
      </c>
      <c r="C96" s="53" t="s">
        <v>21</v>
      </c>
      <c r="D96" s="20"/>
      <c r="E96" s="20"/>
      <c r="F96" s="100">
        <v>2</v>
      </c>
      <c r="G96" s="41">
        <v>22</v>
      </c>
      <c r="H96" s="41">
        <v>20</v>
      </c>
      <c r="I96" s="42">
        <v>182.78</v>
      </c>
      <c r="J96" s="102"/>
      <c r="K96" s="102"/>
      <c r="L96" s="30"/>
      <c r="M96" s="30"/>
      <c r="N96" s="30"/>
      <c r="O96" s="30"/>
      <c r="P96" s="30"/>
      <c r="Q96" s="30"/>
      <c r="R96" s="30"/>
    </row>
    <row r="97" spans="1:18" ht="15" customHeight="1" thickBot="1" x14ac:dyDescent="0.35">
      <c r="A97" s="105"/>
      <c r="B97" s="24" t="s">
        <v>105</v>
      </c>
      <c r="C97" s="53" t="s">
        <v>69</v>
      </c>
      <c r="D97" s="38"/>
      <c r="E97" s="20"/>
      <c r="F97" s="20"/>
      <c r="G97" s="41">
        <v>22</v>
      </c>
      <c r="H97" s="41">
        <v>22</v>
      </c>
      <c r="I97" s="42">
        <v>290.05</v>
      </c>
      <c r="J97" s="102"/>
      <c r="K97" s="102"/>
      <c r="L97" s="30"/>
      <c r="M97" s="30"/>
      <c r="N97" s="30"/>
      <c r="O97" s="30"/>
      <c r="P97" s="30"/>
      <c r="Q97" s="30"/>
      <c r="R97" s="30"/>
    </row>
    <row r="98" spans="1:18" ht="15" customHeight="1" thickBot="1" x14ac:dyDescent="0.35">
      <c r="A98" s="106"/>
      <c r="B98" s="24" t="s">
        <v>120</v>
      </c>
      <c r="C98" s="53" t="s">
        <v>75</v>
      </c>
      <c r="D98" s="38"/>
      <c r="E98" s="38"/>
      <c r="F98" s="20"/>
      <c r="G98" s="41">
        <v>22</v>
      </c>
      <c r="H98" s="41">
        <v>22</v>
      </c>
      <c r="I98" s="41">
        <v>83.1</v>
      </c>
      <c r="J98" s="102"/>
      <c r="K98" s="102"/>
      <c r="L98" s="30"/>
      <c r="M98" s="30"/>
      <c r="N98" s="30"/>
      <c r="O98" s="30"/>
      <c r="P98" s="30"/>
      <c r="Q98" s="30"/>
      <c r="R98" s="30"/>
    </row>
    <row r="99" spans="1:18" ht="15" customHeight="1" x14ac:dyDescent="0.3">
      <c r="A99" s="25"/>
      <c r="B99" s="102"/>
      <c r="C99" s="25"/>
      <c r="D99" s="43"/>
      <c r="E99" s="43"/>
      <c r="F99" s="43"/>
      <c r="G99" s="43"/>
      <c r="H99" s="43"/>
      <c r="I99" s="43"/>
      <c r="J99" s="43"/>
      <c r="K99" s="43"/>
      <c r="L99" s="25"/>
      <c r="M99" s="25"/>
      <c r="N99" s="25"/>
      <c r="O99" s="25"/>
      <c r="P99" s="25"/>
      <c r="Q99" s="25"/>
      <c r="R99" s="25"/>
    </row>
    <row r="100" spans="1:18" ht="15" customHeight="1" thickBot="1" x14ac:dyDescent="0.35">
      <c r="A100" s="26"/>
      <c r="B100" s="26"/>
      <c r="C100" s="26"/>
      <c r="D100" s="44" t="s">
        <v>81</v>
      </c>
      <c r="E100" s="44" t="s">
        <v>82</v>
      </c>
      <c r="F100" s="44" t="s">
        <v>83</v>
      </c>
      <c r="G100" s="44" t="s">
        <v>6</v>
      </c>
      <c r="H100" s="44" t="s">
        <v>84</v>
      </c>
      <c r="I100" s="45" t="s">
        <v>96</v>
      </c>
      <c r="J100" s="102"/>
      <c r="K100" s="102"/>
      <c r="L100" s="30"/>
      <c r="M100" s="30"/>
      <c r="N100" s="30"/>
      <c r="O100" s="30"/>
      <c r="P100" s="30"/>
      <c r="Q100" s="30"/>
      <c r="R100" s="30"/>
    </row>
    <row r="101" spans="1:18" ht="15" customHeight="1" thickBot="1" x14ac:dyDescent="0.35">
      <c r="A101" s="107" t="s">
        <v>106</v>
      </c>
      <c r="B101" s="27" t="s">
        <v>107</v>
      </c>
      <c r="C101" s="28" t="s">
        <v>146</v>
      </c>
      <c r="D101" s="20"/>
      <c r="E101" s="20"/>
      <c r="F101" s="20"/>
      <c r="G101" s="46">
        <v>22</v>
      </c>
      <c r="H101" s="37">
        <v>22</v>
      </c>
      <c r="I101" s="42">
        <v>260</v>
      </c>
      <c r="J101" s="101" t="s">
        <v>198</v>
      </c>
      <c r="K101" s="102"/>
      <c r="L101" s="30"/>
      <c r="M101" s="30"/>
      <c r="N101" s="30"/>
      <c r="O101" s="30"/>
      <c r="P101" s="30"/>
      <c r="Q101" s="30"/>
      <c r="R101" s="30"/>
    </row>
    <row r="102" spans="1:18" ht="15" customHeight="1" thickBot="1" x14ac:dyDescent="0.35">
      <c r="A102" s="108"/>
      <c r="B102" s="27" t="s">
        <v>108</v>
      </c>
      <c r="C102" s="28" t="s">
        <v>147</v>
      </c>
      <c r="D102" s="20"/>
      <c r="E102" s="20"/>
      <c r="F102" s="20"/>
      <c r="G102" s="46">
        <v>22</v>
      </c>
      <c r="H102" s="37">
        <v>22</v>
      </c>
      <c r="I102" s="42">
        <v>260</v>
      </c>
      <c r="J102" s="102"/>
      <c r="K102" s="102"/>
      <c r="L102" s="30"/>
      <c r="M102" s="30"/>
      <c r="N102" s="30"/>
      <c r="O102" s="30"/>
      <c r="P102" s="30"/>
      <c r="Q102" s="30"/>
      <c r="R102" s="30"/>
    </row>
    <row r="103" spans="1:18" ht="15" customHeight="1" thickBot="1" x14ac:dyDescent="0.35">
      <c r="A103" s="108"/>
      <c r="B103" s="27" t="s">
        <v>109</v>
      </c>
      <c r="C103" s="28" t="s">
        <v>147</v>
      </c>
      <c r="D103" s="20"/>
      <c r="E103" s="20"/>
      <c r="F103" s="20"/>
      <c r="G103" s="46">
        <v>22</v>
      </c>
      <c r="H103" s="37">
        <v>22</v>
      </c>
      <c r="I103" s="42">
        <v>280</v>
      </c>
      <c r="J103" s="102"/>
      <c r="K103" s="102"/>
      <c r="L103" s="30"/>
      <c r="M103" s="30"/>
      <c r="N103" s="30"/>
      <c r="O103" s="30"/>
      <c r="P103" s="30"/>
      <c r="Q103" s="30"/>
      <c r="R103" s="30"/>
    </row>
    <row r="104" spans="1:18" ht="15" customHeight="1" thickBot="1" x14ac:dyDescent="0.35">
      <c r="A104" s="108"/>
      <c r="B104" s="27" t="s">
        <v>110</v>
      </c>
      <c r="C104" s="28" t="s">
        <v>147</v>
      </c>
      <c r="D104" s="20"/>
      <c r="E104" s="37">
        <v>1</v>
      </c>
      <c r="F104" s="20"/>
      <c r="G104" s="46">
        <v>22</v>
      </c>
      <c r="H104" s="37">
        <v>21</v>
      </c>
      <c r="I104" s="42">
        <v>260</v>
      </c>
      <c r="J104" s="102"/>
      <c r="K104" s="102"/>
      <c r="L104" s="30"/>
      <c r="M104" s="30"/>
      <c r="N104" s="30"/>
      <c r="O104" s="30"/>
      <c r="P104" s="30"/>
      <c r="Q104" s="30"/>
      <c r="R104" s="30"/>
    </row>
    <row r="105" spans="1:18" ht="15" customHeight="1" thickBot="1" x14ac:dyDescent="0.35">
      <c r="A105" s="108"/>
      <c r="B105" s="27" t="s">
        <v>111</v>
      </c>
      <c r="C105" s="28" t="s">
        <v>147</v>
      </c>
      <c r="D105" s="20"/>
      <c r="E105" s="20"/>
      <c r="F105" s="20"/>
      <c r="G105" s="46">
        <v>22</v>
      </c>
      <c r="H105" s="37">
        <v>22</v>
      </c>
      <c r="I105" s="42">
        <v>250</v>
      </c>
      <c r="J105" s="102"/>
      <c r="K105" s="102"/>
      <c r="L105" s="30"/>
      <c r="M105" s="30"/>
      <c r="N105" s="30"/>
      <c r="O105" s="30"/>
      <c r="P105" s="30"/>
      <c r="Q105" s="30"/>
      <c r="R105" s="30"/>
    </row>
    <row r="106" spans="1:18" ht="15" customHeight="1" thickBot="1" x14ac:dyDescent="0.35">
      <c r="A106" s="108"/>
      <c r="B106" s="27" t="s">
        <v>185</v>
      </c>
      <c r="C106" s="27" t="s">
        <v>148</v>
      </c>
      <c r="D106" s="20"/>
      <c r="E106" s="20"/>
      <c r="F106" s="20"/>
      <c r="G106" s="46">
        <v>22</v>
      </c>
      <c r="H106" s="37">
        <v>22</v>
      </c>
      <c r="I106" s="42">
        <v>140</v>
      </c>
      <c r="J106" s="102"/>
      <c r="K106" s="102"/>
      <c r="L106" s="30"/>
      <c r="M106" s="30"/>
      <c r="N106" s="30"/>
      <c r="O106" s="30"/>
      <c r="P106" s="30"/>
      <c r="Q106" s="30"/>
      <c r="R106" s="30"/>
    </row>
    <row r="107" spans="1:18" ht="15" customHeight="1" thickBot="1" x14ac:dyDescent="0.35">
      <c r="A107" s="108"/>
      <c r="B107" s="27" t="s">
        <v>112</v>
      </c>
      <c r="C107" s="28" t="s">
        <v>148</v>
      </c>
      <c r="D107" s="20"/>
      <c r="E107" s="20"/>
      <c r="F107" s="20"/>
      <c r="G107" s="46">
        <v>22</v>
      </c>
      <c r="H107" s="37">
        <v>22</v>
      </c>
      <c r="I107" s="42">
        <v>170</v>
      </c>
      <c r="J107" s="102"/>
      <c r="K107" s="102"/>
      <c r="L107" s="30"/>
      <c r="M107" s="30"/>
      <c r="N107" s="30"/>
      <c r="O107" s="30"/>
      <c r="P107" s="30"/>
      <c r="Q107" s="30"/>
      <c r="R107" s="30"/>
    </row>
    <row r="108" spans="1:18" ht="15" customHeight="1" thickBot="1" x14ac:dyDescent="0.35">
      <c r="A108" s="108"/>
      <c r="B108" s="28" t="s">
        <v>113</v>
      </c>
      <c r="C108" s="28" t="s">
        <v>148</v>
      </c>
      <c r="D108" s="20"/>
      <c r="E108" s="20"/>
      <c r="F108" s="20"/>
      <c r="G108" s="46">
        <v>22</v>
      </c>
      <c r="H108" s="37">
        <v>22</v>
      </c>
      <c r="I108" s="42">
        <v>140</v>
      </c>
      <c r="J108" s="102"/>
      <c r="K108" s="102"/>
      <c r="L108" s="30"/>
      <c r="M108" s="30"/>
      <c r="N108" s="30"/>
      <c r="O108" s="30"/>
      <c r="P108" s="30"/>
      <c r="Q108" s="30"/>
      <c r="R108" s="30"/>
    </row>
    <row r="109" spans="1:18" ht="15" customHeight="1" thickBot="1" x14ac:dyDescent="0.35">
      <c r="A109" s="108"/>
      <c r="B109" s="28" t="s">
        <v>114</v>
      </c>
      <c r="C109" s="28" t="s">
        <v>148</v>
      </c>
      <c r="D109" s="20"/>
      <c r="E109" s="20"/>
      <c r="F109" s="20"/>
      <c r="G109" s="46">
        <v>22</v>
      </c>
      <c r="H109" s="37">
        <v>22</v>
      </c>
      <c r="I109" s="42">
        <v>140</v>
      </c>
      <c r="J109" s="102"/>
      <c r="K109" s="102"/>
      <c r="L109" s="30"/>
      <c r="M109" s="30"/>
      <c r="N109" s="30"/>
      <c r="O109" s="30"/>
      <c r="P109" s="30"/>
      <c r="Q109" s="30"/>
      <c r="R109" s="30"/>
    </row>
    <row r="110" spans="1:18" ht="15" customHeight="1" thickBot="1" x14ac:dyDescent="0.35">
      <c r="A110" s="108"/>
      <c r="B110" s="29" t="s">
        <v>115</v>
      </c>
      <c r="C110" s="28" t="s">
        <v>149</v>
      </c>
      <c r="D110" s="20"/>
      <c r="E110" s="20"/>
      <c r="F110" s="20"/>
      <c r="G110" s="46">
        <v>22</v>
      </c>
      <c r="H110" s="37">
        <v>22</v>
      </c>
      <c r="I110" s="42">
        <v>140</v>
      </c>
      <c r="J110" s="102"/>
      <c r="K110" s="102"/>
      <c r="L110" s="30"/>
      <c r="M110" s="30"/>
      <c r="N110" s="30"/>
      <c r="O110" s="30"/>
      <c r="P110" s="30"/>
      <c r="Q110" s="30"/>
      <c r="R110" s="30"/>
    </row>
    <row r="111" spans="1:18" ht="15" customHeight="1" thickBot="1" x14ac:dyDescent="0.35">
      <c r="A111" s="108"/>
      <c r="B111" s="29" t="s">
        <v>116</v>
      </c>
      <c r="C111" s="28" t="s">
        <v>148</v>
      </c>
      <c r="D111" s="20"/>
      <c r="E111" s="20"/>
      <c r="F111" s="20"/>
      <c r="G111" s="46">
        <v>22</v>
      </c>
      <c r="H111" s="37">
        <v>22</v>
      </c>
      <c r="I111" s="42">
        <v>140</v>
      </c>
      <c r="J111" s="102"/>
      <c r="K111" s="102"/>
      <c r="L111" s="30"/>
      <c r="M111" s="30"/>
      <c r="N111" s="30"/>
      <c r="O111" s="30"/>
      <c r="P111" s="30"/>
      <c r="Q111" s="30"/>
      <c r="R111" s="30"/>
    </row>
    <row r="112" spans="1:18" ht="15" customHeight="1" thickBot="1" x14ac:dyDescent="0.35">
      <c r="A112" s="108"/>
      <c r="B112" s="29" t="s">
        <v>117</v>
      </c>
      <c r="C112" s="28" t="s">
        <v>148</v>
      </c>
      <c r="D112" s="20"/>
      <c r="E112" s="20"/>
      <c r="F112" s="20"/>
      <c r="G112" s="46">
        <v>22</v>
      </c>
      <c r="H112" s="37">
        <v>22</v>
      </c>
      <c r="I112" s="42">
        <v>100</v>
      </c>
      <c r="J112" s="101" t="s">
        <v>199</v>
      </c>
      <c r="K112" s="102"/>
      <c r="L112" s="30"/>
      <c r="M112" s="30"/>
      <c r="N112" s="30"/>
      <c r="O112" s="30"/>
      <c r="P112" s="30"/>
      <c r="Q112" s="30"/>
      <c r="R112" s="30"/>
    </row>
    <row r="113" spans="1:18" ht="15" customHeight="1" thickBot="1" x14ac:dyDescent="0.35">
      <c r="A113" s="108"/>
      <c r="B113" s="29" t="s">
        <v>118</v>
      </c>
      <c r="C113" s="28" t="s">
        <v>148</v>
      </c>
      <c r="D113" s="20"/>
      <c r="E113" s="20"/>
      <c r="F113" s="20"/>
      <c r="G113" s="46">
        <v>22</v>
      </c>
      <c r="H113" s="37">
        <v>22</v>
      </c>
      <c r="I113" s="42">
        <v>140</v>
      </c>
      <c r="J113" s="102"/>
      <c r="K113" s="102"/>
      <c r="L113" s="30"/>
      <c r="M113" s="30"/>
      <c r="N113" s="30"/>
      <c r="O113" s="30"/>
      <c r="P113" s="30"/>
      <c r="Q113" s="30"/>
      <c r="R113" s="30"/>
    </row>
    <row r="114" spans="1:18" ht="15" customHeight="1" thickBot="1" x14ac:dyDescent="0.35">
      <c r="A114" s="108"/>
      <c r="B114" s="29" t="s">
        <v>119</v>
      </c>
      <c r="C114" s="28" t="s">
        <v>148</v>
      </c>
      <c r="D114" s="20"/>
      <c r="E114" s="20"/>
      <c r="F114" s="20"/>
      <c r="G114" s="46">
        <v>22</v>
      </c>
      <c r="H114" s="37">
        <v>22</v>
      </c>
      <c r="I114" s="42">
        <v>140</v>
      </c>
      <c r="J114" s="102"/>
      <c r="K114" s="102"/>
      <c r="L114" s="30"/>
      <c r="M114" s="30"/>
      <c r="N114" s="30"/>
      <c r="O114" s="30"/>
      <c r="P114" s="30"/>
      <c r="Q114" s="30"/>
      <c r="R114" s="30"/>
    </row>
    <row r="115" spans="1:18" ht="15" customHeight="1" x14ac:dyDescent="0.3">
      <c r="A115" s="108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30"/>
      <c r="M115" s="30"/>
      <c r="N115" s="30"/>
      <c r="O115" s="30"/>
      <c r="P115" s="30"/>
      <c r="Q115" s="30"/>
      <c r="R115" s="30"/>
    </row>
    <row r="116" spans="1:18" ht="15" customHeight="1" thickBot="1" x14ac:dyDescent="0.35">
      <c r="A116" s="109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30"/>
      <c r="M116" s="30"/>
      <c r="N116" s="30"/>
      <c r="O116" s="30"/>
      <c r="P116" s="30"/>
      <c r="Q116" s="30"/>
      <c r="R116" s="30"/>
    </row>
    <row r="117" spans="1:18" ht="15" customHeight="1" x14ac:dyDescent="0.3">
      <c r="A117" s="30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30"/>
      <c r="M117" s="30"/>
      <c r="N117" s="30"/>
      <c r="O117" s="30"/>
      <c r="P117" s="30"/>
      <c r="Q117" s="30"/>
      <c r="R117" s="30"/>
    </row>
    <row r="118" spans="1:18" ht="15" customHeight="1" x14ac:dyDescent="0.3">
      <c r="A118" s="30"/>
      <c r="B118" s="30"/>
      <c r="C118" s="30"/>
      <c r="D118" s="102"/>
      <c r="E118" s="102"/>
      <c r="F118" s="102"/>
      <c r="G118" s="102"/>
      <c r="H118" s="102"/>
      <c r="I118" s="102"/>
      <c r="J118" s="102"/>
      <c r="K118" s="102"/>
      <c r="L118" s="30"/>
      <c r="M118" s="30"/>
      <c r="N118" s="30"/>
      <c r="O118" s="30"/>
      <c r="P118" s="30"/>
      <c r="Q118" s="30"/>
      <c r="R118" s="30"/>
    </row>
    <row r="119" spans="1:18" ht="15" customHeight="1" thickBot="1" x14ac:dyDescent="0.35">
      <c r="A119" s="30"/>
      <c r="B119" s="31"/>
      <c r="C119" s="31"/>
      <c r="D119" s="102"/>
      <c r="E119" s="102"/>
      <c r="F119" s="102"/>
      <c r="G119" s="102"/>
      <c r="H119" s="102"/>
      <c r="I119" s="102"/>
      <c r="J119" s="102"/>
      <c r="K119" s="102"/>
      <c r="L119" s="30"/>
      <c r="M119" s="30"/>
      <c r="N119" s="30"/>
      <c r="O119" s="30"/>
      <c r="P119" s="30"/>
      <c r="Q119" s="30"/>
      <c r="R119" s="30"/>
    </row>
    <row r="120" spans="1:18" ht="15" customHeight="1" thickBot="1" x14ac:dyDescent="0.35">
      <c r="A120" s="32"/>
      <c r="B120" s="33" t="s">
        <v>0</v>
      </c>
      <c r="C120" s="33" t="s">
        <v>139</v>
      </c>
      <c r="D120" s="102"/>
      <c r="E120" s="110"/>
      <c r="F120" s="110"/>
      <c r="G120" s="102"/>
      <c r="H120" s="102"/>
      <c r="I120" s="102"/>
      <c r="J120" s="102"/>
      <c r="K120" s="102"/>
      <c r="L120" s="30"/>
      <c r="M120" s="30"/>
      <c r="N120" s="30"/>
      <c r="O120" s="30"/>
      <c r="P120" s="30"/>
      <c r="Q120" s="30"/>
      <c r="R120" s="30"/>
    </row>
    <row r="121" spans="1:18" ht="15" customHeight="1" thickBot="1" x14ac:dyDescent="0.35">
      <c r="A121" s="21"/>
      <c r="B121" s="20" t="s">
        <v>11</v>
      </c>
      <c r="C121" s="54" t="s">
        <v>140</v>
      </c>
      <c r="D121" s="102"/>
      <c r="E121" s="43"/>
      <c r="F121" s="43"/>
      <c r="G121" s="102"/>
      <c r="H121" s="102"/>
      <c r="I121" s="102"/>
      <c r="J121" s="102"/>
      <c r="K121" s="102"/>
      <c r="L121" s="30"/>
      <c r="M121" s="30"/>
      <c r="N121" s="30"/>
      <c r="O121" s="30"/>
      <c r="P121" s="30"/>
      <c r="Q121" s="30"/>
      <c r="R121" s="30"/>
    </row>
    <row r="122" spans="1:18" ht="15" customHeight="1" thickBot="1" x14ac:dyDescent="0.35">
      <c r="A122" s="21"/>
      <c r="B122" s="17" t="s">
        <v>14</v>
      </c>
      <c r="C122" s="54" t="s">
        <v>141</v>
      </c>
      <c r="D122" s="102"/>
      <c r="E122" s="43"/>
      <c r="F122" s="43"/>
      <c r="G122" s="102"/>
      <c r="H122" s="102"/>
      <c r="I122" s="102"/>
      <c r="J122" s="102"/>
      <c r="K122" s="102"/>
      <c r="L122" s="30"/>
      <c r="M122" s="30"/>
      <c r="N122" s="30"/>
      <c r="O122" s="30"/>
      <c r="P122" s="30"/>
      <c r="Q122" s="30"/>
      <c r="R122" s="30"/>
    </row>
    <row r="123" spans="1:18" ht="15" customHeight="1" thickBot="1" x14ac:dyDescent="0.35">
      <c r="A123" s="21"/>
      <c r="B123" s="20" t="s">
        <v>15</v>
      </c>
      <c r="C123" s="54" t="s">
        <v>142</v>
      </c>
      <c r="D123" s="102"/>
      <c r="E123" s="43"/>
      <c r="F123" s="43"/>
      <c r="G123" s="102"/>
      <c r="H123" s="102"/>
      <c r="I123" s="102"/>
      <c r="J123" s="102"/>
      <c r="K123" s="102"/>
      <c r="L123" s="30"/>
      <c r="M123" s="30"/>
      <c r="N123" s="30"/>
      <c r="O123" s="30"/>
      <c r="P123" s="30"/>
      <c r="Q123" s="30"/>
      <c r="R123" s="30"/>
    </row>
    <row r="124" spans="1:18" ht="15" customHeight="1" thickBot="1" x14ac:dyDescent="0.35">
      <c r="A124" s="21"/>
      <c r="B124" s="34" t="s">
        <v>86</v>
      </c>
      <c r="C124" s="54" t="s">
        <v>140</v>
      </c>
      <c r="D124" s="102"/>
      <c r="E124" s="43"/>
      <c r="F124" s="43"/>
      <c r="G124" s="102"/>
      <c r="H124" s="102"/>
      <c r="I124" s="102"/>
      <c r="J124" s="102"/>
      <c r="K124" s="102"/>
      <c r="L124" s="30"/>
      <c r="M124" s="30"/>
      <c r="N124" s="30"/>
      <c r="O124" s="30"/>
      <c r="P124" s="30"/>
      <c r="Q124" s="30"/>
      <c r="R124" s="30"/>
    </row>
    <row r="125" spans="1:18" ht="15" customHeight="1" thickBot="1" x14ac:dyDescent="0.35">
      <c r="A125" s="21"/>
      <c r="B125" s="20" t="s">
        <v>16</v>
      </c>
      <c r="C125" s="54" t="s">
        <v>140</v>
      </c>
      <c r="D125" s="102"/>
      <c r="E125" s="43"/>
      <c r="F125" s="43"/>
      <c r="G125" s="102"/>
      <c r="H125" s="102"/>
      <c r="I125" s="102"/>
      <c r="J125" s="102"/>
      <c r="K125" s="102"/>
      <c r="L125" s="30"/>
      <c r="M125" s="30"/>
      <c r="N125" s="30"/>
      <c r="O125" s="30"/>
      <c r="P125" s="30"/>
      <c r="Q125" s="30"/>
      <c r="R125" s="30"/>
    </row>
    <row r="126" spans="1:18" ht="15" customHeight="1" thickBot="1" x14ac:dyDescent="0.35">
      <c r="A126" s="21"/>
      <c r="B126" s="20" t="s">
        <v>17</v>
      </c>
      <c r="C126" s="54" t="s">
        <v>3</v>
      </c>
      <c r="D126" s="102"/>
      <c r="E126" s="43"/>
      <c r="F126" s="43"/>
      <c r="G126" s="102"/>
      <c r="H126" s="102"/>
      <c r="I126" s="102"/>
      <c r="J126" s="102"/>
      <c r="K126" s="102"/>
      <c r="L126" s="30"/>
      <c r="M126" s="30"/>
      <c r="N126" s="30"/>
      <c r="O126" s="30"/>
      <c r="P126" s="30"/>
      <c r="Q126" s="30"/>
      <c r="R126" s="30"/>
    </row>
    <row r="127" spans="1:18" ht="15" customHeight="1" thickBot="1" x14ac:dyDescent="0.35">
      <c r="A127" s="21"/>
      <c r="B127" s="17" t="s">
        <v>18</v>
      </c>
      <c r="C127" s="54" t="s">
        <v>141</v>
      </c>
      <c r="D127" s="102"/>
      <c r="E127" s="43"/>
      <c r="F127" s="43"/>
      <c r="G127" s="102"/>
      <c r="H127" s="102"/>
      <c r="I127" s="102"/>
      <c r="J127" s="102"/>
      <c r="K127" s="102"/>
      <c r="L127" s="30"/>
      <c r="M127" s="30"/>
      <c r="N127" s="30"/>
      <c r="O127" s="30"/>
      <c r="P127" s="30"/>
      <c r="Q127" s="30"/>
      <c r="R127" s="30"/>
    </row>
    <row r="128" spans="1:18" ht="15" customHeight="1" thickBot="1" x14ac:dyDescent="0.35">
      <c r="A128" s="21"/>
      <c r="B128" s="20" t="s">
        <v>19</v>
      </c>
      <c r="C128" s="54" t="s">
        <v>140</v>
      </c>
      <c r="D128" s="102"/>
      <c r="E128" s="43"/>
      <c r="F128" s="43"/>
      <c r="G128" s="102"/>
      <c r="H128" s="102"/>
      <c r="I128" s="102"/>
      <c r="J128" s="102"/>
      <c r="K128" s="102"/>
      <c r="L128" s="30"/>
      <c r="M128" s="30"/>
      <c r="N128" s="30"/>
      <c r="O128" s="30"/>
      <c r="P128" s="30"/>
      <c r="Q128" s="30"/>
      <c r="R128" s="30"/>
    </row>
    <row r="129" spans="1:18" ht="15" customHeight="1" thickBot="1" x14ac:dyDescent="0.35">
      <c r="A129" s="21"/>
      <c r="B129" s="20" t="s">
        <v>20</v>
      </c>
      <c r="C129" s="54" t="s">
        <v>142</v>
      </c>
      <c r="D129" s="102"/>
      <c r="E129" s="43"/>
      <c r="F129" s="43"/>
      <c r="G129" s="102"/>
      <c r="H129" s="102"/>
      <c r="I129" s="102"/>
      <c r="J129" s="102"/>
      <c r="K129" s="102"/>
      <c r="L129" s="30"/>
      <c r="M129" s="30"/>
      <c r="N129" s="30"/>
      <c r="O129" s="30"/>
      <c r="P129" s="30"/>
      <c r="Q129" s="30"/>
      <c r="R129" s="30"/>
    </row>
    <row r="130" spans="1:18" ht="15" customHeight="1" thickBot="1" x14ac:dyDescent="0.35">
      <c r="A130" s="21"/>
      <c r="B130" s="20" t="s">
        <v>21</v>
      </c>
      <c r="C130" s="54" t="s">
        <v>142</v>
      </c>
      <c r="D130" s="102"/>
      <c r="E130" s="43"/>
      <c r="F130" s="43"/>
      <c r="G130" s="102"/>
      <c r="H130" s="102"/>
      <c r="I130" s="102"/>
      <c r="J130" s="102"/>
      <c r="K130" s="102"/>
      <c r="L130" s="30"/>
      <c r="M130" s="30"/>
      <c r="N130" s="30"/>
      <c r="O130" s="30"/>
      <c r="P130" s="30"/>
      <c r="Q130" s="30"/>
      <c r="R130" s="30"/>
    </row>
    <row r="131" spans="1:18" ht="15" customHeight="1" thickBot="1" x14ac:dyDescent="0.35">
      <c r="A131" s="21"/>
      <c r="B131" s="13" t="s">
        <v>87</v>
      </c>
      <c r="C131" s="54" t="s">
        <v>140</v>
      </c>
      <c r="D131" s="102"/>
      <c r="E131" s="43"/>
      <c r="F131" s="43"/>
      <c r="G131" s="102"/>
      <c r="H131" s="102"/>
      <c r="I131" s="102"/>
      <c r="J131" s="102"/>
      <c r="K131" s="102"/>
      <c r="L131" s="30"/>
      <c r="M131" s="30"/>
      <c r="N131" s="30"/>
      <c r="O131" s="30"/>
      <c r="P131" s="30"/>
      <c r="Q131" s="30"/>
      <c r="R131" s="30"/>
    </row>
    <row r="132" spans="1:18" ht="15" customHeight="1" thickBot="1" x14ac:dyDescent="0.35">
      <c r="A132" s="21"/>
      <c r="B132" s="13" t="s">
        <v>22</v>
      </c>
      <c r="C132" s="54" t="s">
        <v>142</v>
      </c>
      <c r="D132" s="102"/>
      <c r="E132" s="43"/>
      <c r="F132" s="43"/>
      <c r="G132" s="102"/>
      <c r="H132" s="102"/>
      <c r="I132" s="102"/>
      <c r="J132" s="102"/>
      <c r="K132" s="102"/>
      <c r="L132" s="30"/>
      <c r="M132" s="30"/>
      <c r="N132" s="30"/>
      <c r="O132" s="30"/>
      <c r="P132" s="30"/>
      <c r="Q132" s="30"/>
      <c r="R132" s="30"/>
    </row>
    <row r="133" spans="1:18" ht="15" customHeight="1" thickBot="1" x14ac:dyDescent="0.35">
      <c r="A133" s="21"/>
      <c r="B133" s="20" t="s">
        <v>23</v>
      </c>
      <c r="C133" s="54" t="s">
        <v>3</v>
      </c>
      <c r="D133" s="102"/>
      <c r="E133" s="43"/>
      <c r="F133" s="43"/>
      <c r="G133" s="102"/>
      <c r="H133" s="102"/>
      <c r="I133" s="102"/>
      <c r="J133" s="102"/>
      <c r="K133" s="102"/>
      <c r="L133" s="30"/>
      <c r="M133" s="30"/>
      <c r="N133" s="30"/>
      <c r="O133" s="30"/>
      <c r="P133" s="30"/>
      <c r="Q133" s="30"/>
      <c r="R133" s="30"/>
    </row>
    <row r="134" spans="1:18" ht="15" customHeight="1" thickBot="1" x14ac:dyDescent="0.35">
      <c r="A134" s="21"/>
      <c r="B134" s="20" t="s">
        <v>24</v>
      </c>
      <c r="C134" s="54" t="s">
        <v>140</v>
      </c>
      <c r="D134" s="102"/>
      <c r="E134" s="43"/>
      <c r="F134" s="43"/>
      <c r="G134" s="102"/>
      <c r="H134" s="102"/>
      <c r="I134" s="102"/>
      <c r="J134" s="102"/>
      <c r="K134" s="102"/>
      <c r="L134" s="30"/>
      <c r="M134" s="30"/>
      <c r="N134" s="30"/>
      <c r="O134" s="30"/>
      <c r="P134" s="30"/>
      <c r="Q134" s="30"/>
      <c r="R134" s="30"/>
    </row>
    <row r="135" spans="1:18" ht="15" customHeight="1" thickBot="1" x14ac:dyDescent="0.35">
      <c r="A135" s="21"/>
      <c r="B135" s="20" t="s">
        <v>88</v>
      </c>
      <c r="C135" s="54" t="s">
        <v>140</v>
      </c>
      <c r="D135" s="102"/>
      <c r="E135" s="43"/>
      <c r="F135" s="43"/>
      <c r="G135" s="102"/>
      <c r="H135" s="102"/>
      <c r="I135" s="102"/>
      <c r="J135" s="102"/>
      <c r="K135" s="102"/>
      <c r="L135" s="30"/>
      <c r="M135" s="30"/>
      <c r="N135" s="30"/>
      <c r="O135" s="30"/>
      <c r="P135" s="30"/>
      <c r="Q135" s="30"/>
      <c r="R135" s="30"/>
    </row>
    <row r="136" spans="1:18" ht="15" customHeight="1" thickBot="1" x14ac:dyDescent="0.35">
      <c r="A136" s="21"/>
      <c r="B136" s="35" t="s">
        <v>25</v>
      </c>
      <c r="C136" s="54" t="s">
        <v>140</v>
      </c>
      <c r="D136" s="102"/>
      <c r="E136" s="43"/>
      <c r="F136" s="43"/>
      <c r="G136" s="102"/>
      <c r="H136" s="102"/>
      <c r="I136" s="102"/>
      <c r="J136" s="102"/>
      <c r="K136" s="102"/>
      <c r="L136" s="30"/>
      <c r="M136" s="30"/>
      <c r="N136" s="30"/>
      <c r="O136" s="30"/>
      <c r="P136" s="30"/>
      <c r="Q136" s="30"/>
      <c r="R136" s="30"/>
    </row>
    <row r="137" spans="1:18" ht="15" customHeight="1" thickBot="1" x14ac:dyDescent="0.35">
      <c r="A137" s="21"/>
      <c r="B137" s="15" t="s">
        <v>26</v>
      </c>
      <c r="C137" s="54" t="s">
        <v>143</v>
      </c>
      <c r="D137" s="102"/>
      <c r="E137" s="43"/>
      <c r="F137" s="43"/>
      <c r="G137" s="102"/>
      <c r="H137" s="102"/>
      <c r="I137" s="102"/>
      <c r="J137" s="102"/>
      <c r="K137" s="102"/>
      <c r="L137" s="30"/>
      <c r="M137" s="30"/>
      <c r="N137" s="30"/>
      <c r="O137" s="30"/>
      <c r="P137" s="30"/>
      <c r="Q137" s="30"/>
      <c r="R137" s="30"/>
    </row>
    <row r="138" spans="1:18" ht="15" customHeight="1" thickBot="1" x14ac:dyDescent="0.35">
      <c r="A138" s="21"/>
      <c r="B138" s="20" t="s">
        <v>27</v>
      </c>
      <c r="C138" s="54" t="s">
        <v>140</v>
      </c>
      <c r="D138" s="102"/>
      <c r="E138" s="43"/>
      <c r="F138" s="43"/>
      <c r="G138" s="102"/>
      <c r="H138" s="102"/>
      <c r="I138" s="102"/>
      <c r="J138" s="102"/>
      <c r="K138" s="102"/>
      <c r="L138" s="30"/>
      <c r="M138" s="30"/>
      <c r="N138" s="30"/>
      <c r="O138" s="30"/>
      <c r="P138" s="30"/>
      <c r="Q138" s="30"/>
      <c r="R138" s="30"/>
    </row>
    <row r="139" spans="1:18" ht="15" customHeight="1" thickBot="1" x14ac:dyDescent="0.35">
      <c r="A139" s="21"/>
      <c r="B139" s="17" t="s">
        <v>28</v>
      </c>
      <c r="C139" s="54" t="s">
        <v>141</v>
      </c>
      <c r="D139" s="102"/>
      <c r="E139" s="43"/>
      <c r="F139" s="43"/>
      <c r="G139" s="102"/>
      <c r="H139" s="102"/>
      <c r="I139" s="102"/>
      <c r="J139" s="102"/>
      <c r="K139" s="102"/>
      <c r="L139" s="30"/>
      <c r="M139" s="30"/>
      <c r="N139" s="30"/>
      <c r="O139" s="30"/>
      <c r="P139" s="30"/>
      <c r="Q139" s="30"/>
      <c r="R139" s="30"/>
    </row>
    <row r="140" spans="1:18" ht="15" customHeight="1" thickBot="1" x14ac:dyDescent="0.35">
      <c r="A140" s="21"/>
      <c r="B140" s="20" t="s">
        <v>89</v>
      </c>
      <c r="C140" s="54" t="s">
        <v>140</v>
      </c>
      <c r="D140" s="102"/>
      <c r="E140" s="43"/>
      <c r="F140" s="43"/>
      <c r="G140" s="102"/>
      <c r="H140" s="102"/>
      <c r="I140" s="102"/>
      <c r="J140" s="102"/>
      <c r="K140" s="102"/>
      <c r="L140" s="30"/>
      <c r="M140" s="30"/>
      <c r="N140" s="30"/>
      <c r="O140" s="30"/>
      <c r="P140" s="30"/>
      <c r="Q140" s="30"/>
      <c r="R140" s="30"/>
    </row>
    <row r="141" spans="1:18" ht="15" customHeight="1" thickBot="1" x14ac:dyDescent="0.35">
      <c r="A141" s="21"/>
      <c r="B141" s="20" t="s">
        <v>29</v>
      </c>
      <c r="C141" s="54" t="s">
        <v>3</v>
      </c>
      <c r="D141" s="102"/>
      <c r="E141" s="43"/>
      <c r="F141" s="43"/>
      <c r="G141" s="102"/>
      <c r="H141" s="102"/>
      <c r="I141" s="102"/>
      <c r="J141" s="102"/>
      <c r="K141" s="102"/>
      <c r="L141" s="30"/>
      <c r="M141" s="30"/>
      <c r="N141" s="30"/>
      <c r="O141" s="30"/>
      <c r="P141" s="30"/>
      <c r="Q141" s="30"/>
      <c r="R141" s="30"/>
    </row>
    <row r="142" spans="1:18" ht="15" customHeight="1" thickBot="1" x14ac:dyDescent="0.35">
      <c r="A142" s="21"/>
      <c r="B142" s="20" t="s">
        <v>30</v>
      </c>
      <c r="C142" s="54" t="s">
        <v>3</v>
      </c>
      <c r="D142" s="102"/>
      <c r="E142" s="43"/>
      <c r="F142" s="43"/>
      <c r="G142" s="102"/>
      <c r="H142" s="102"/>
      <c r="I142" s="102"/>
      <c r="J142" s="102"/>
      <c r="K142" s="102"/>
      <c r="L142" s="30"/>
      <c r="M142" s="30"/>
      <c r="N142" s="30"/>
      <c r="O142" s="30"/>
      <c r="P142" s="30"/>
      <c r="Q142" s="30"/>
      <c r="R142" s="30"/>
    </row>
    <row r="143" spans="1:18" ht="15" customHeight="1" thickBot="1" x14ac:dyDescent="0.35">
      <c r="A143" s="21"/>
      <c r="B143" s="20" t="s">
        <v>31</v>
      </c>
      <c r="C143" s="20" t="s">
        <v>140</v>
      </c>
      <c r="D143" s="102"/>
      <c r="E143" s="43"/>
      <c r="F143" s="43"/>
      <c r="G143" s="102"/>
      <c r="H143" s="102"/>
      <c r="I143" s="102"/>
      <c r="J143" s="102"/>
      <c r="K143" s="102"/>
      <c r="L143" s="30"/>
      <c r="M143" s="30"/>
      <c r="N143" s="30"/>
      <c r="O143" s="30"/>
      <c r="P143" s="30"/>
      <c r="Q143" s="30"/>
      <c r="R143" s="30"/>
    </row>
    <row r="144" spans="1:18" ht="15" customHeight="1" thickBot="1" x14ac:dyDescent="0.35">
      <c r="A144" s="21"/>
      <c r="B144" s="20" t="s">
        <v>32</v>
      </c>
      <c r="C144" s="20" t="s">
        <v>3</v>
      </c>
      <c r="D144" s="102"/>
      <c r="E144" s="43"/>
      <c r="F144" s="43"/>
      <c r="G144" s="102"/>
      <c r="H144" s="102"/>
      <c r="I144" s="102"/>
      <c r="J144" s="102"/>
      <c r="K144" s="102"/>
      <c r="L144" s="30"/>
      <c r="M144" s="30"/>
      <c r="N144" s="30"/>
      <c r="O144" s="30"/>
      <c r="P144" s="30"/>
      <c r="Q144" s="30"/>
      <c r="R144" s="30"/>
    </row>
    <row r="145" spans="1:18" ht="15" customHeight="1" thickBot="1" x14ac:dyDescent="0.35">
      <c r="A145" s="21"/>
      <c r="B145" s="20" t="s">
        <v>33</v>
      </c>
      <c r="C145" s="54" t="s">
        <v>3</v>
      </c>
      <c r="D145" s="102"/>
      <c r="E145" s="43"/>
      <c r="F145" s="43"/>
      <c r="G145" s="102"/>
      <c r="H145" s="102"/>
      <c r="I145" s="102"/>
      <c r="J145" s="102"/>
      <c r="K145" s="102"/>
      <c r="L145" s="30"/>
      <c r="M145" s="30"/>
      <c r="N145" s="30"/>
      <c r="O145" s="30"/>
      <c r="P145" s="30"/>
      <c r="Q145" s="30"/>
      <c r="R145" s="30"/>
    </row>
    <row r="146" spans="1:18" ht="15" customHeight="1" thickBot="1" x14ac:dyDescent="0.35">
      <c r="A146" s="21"/>
      <c r="B146" s="20" t="s">
        <v>34</v>
      </c>
      <c r="C146" s="54" t="s">
        <v>140</v>
      </c>
      <c r="D146" s="102"/>
      <c r="E146" s="43"/>
      <c r="F146" s="43"/>
      <c r="G146" s="102"/>
      <c r="H146" s="102"/>
      <c r="I146" s="102"/>
      <c r="J146" s="102"/>
      <c r="K146" s="102"/>
      <c r="L146" s="30"/>
      <c r="M146" s="30"/>
      <c r="N146" s="30"/>
      <c r="O146" s="30"/>
      <c r="P146" s="30"/>
      <c r="Q146" s="30"/>
      <c r="R146" s="30"/>
    </row>
    <row r="147" spans="1:18" ht="15" customHeight="1" thickBot="1" x14ac:dyDescent="0.35">
      <c r="A147" s="21"/>
      <c r="B147" s="20" t="s">
        <v>35</v>
      </c>
      <c r="C147" s="54" t="s">
        <v>3</v>
      </c>
      <c r="D147" s="102"/>
      <c r="E147" s="43"/>
      <c r="F147" s="43"/>
      <c r="G147" s="102"/>
      <c r="H147" s="102"/>
      <c r="I147" s="102"/>
      <c r="J147" s="102"/>
      <c r="K147" s="102"/>
      <c r="L147" s="30"/>
      <c r="M147" s="30"/>
      <c r="N147" s="30"/>
      <c r="O147" s="30"/>
      <c r="P147" s="30"/>
      <c r="Q147" s="30"/>
      <c r="R147" s="30"/>
    </row>
    <row r="148" spans="1:18" ht="15" customHeight="1" thickBot="1" x14ac:dyDescent="0.35">
      <c r="A148" s="21"/>
      <c r="B148" s="20" t="s">
        <v>36</v>
      </c>
      <c r="C148" s="54" t="s">
        <v>140</v>
      </c>
      <c r="D148" s="102"/>
      <c r="E148" s="43"/>
      <c r="F148" s="43"/>
      <c r="G148" s="102"/>
      <c r="H148" s="102"/>
      <c r="I148" s="102"/>
      <c r="J148" s="102"/>
      <c r="K148" s="102"/>
      <c r="L148" s="30"/>
      <c r="M148" s="30"/>
      <c r="N148" s="30"/>
      <c r="O148" s="30"/>
      <c r="P148" s="30"/>
      <c r="Q148" s="30"/>
      <c r="R148" s="30"/>
    </row>
    <row r="149" spans="1:18" ht="15" customHeight="1" thickBot="1" x14ac:dyDescent="0.35">
      <c r="A149" s="21"/>
      <c r="B149" s="20" t="s">
        <v>37</v>
      </c>
      <c r="C149" s="54" t="s">
        <v>142</v>
      </c>
      <c r="D149" s="102"/>
      <c r="E149" s="43"/>
      <c r="F149" s="43"/>
      <c r="G149" s="102"/>
      <c r="H149" s="102"/>
      <c r="I149" s="102"/>
      <c r="J149" s="102"/>
      <c r="K149" s="102"/>
      <c r="L149" s="30"/>
      <c r="M149" s="30"/>
      <c r="N149" s="30"/>
      <c r="O149" s="30"/>
      <c r="P149" s="30"/>
      <c r="Q149" s="30"/>
      <c r="R149" s="30"/>
    </row>
    <row r="150" spans="1:18" ht="15" customHeight="1" thickBot="1" x14ac:dyDescent="0.35">
      <c r="A150" s="21"/>
      <c r="B150" s="20" t="s">
        <v>90</v>
      </c>
      <c r="C150" s="54" t="s">
        <v>140</v>
      </c>
      <c r="D150" s="102"/>
      <c r="E150" s="43"/>
      <c r="F150" s="43"/>
      <c r="G150" s="102"/>
      <c r="H150" s="102"/>
      <c r="I150" s="102"/>
      <c r="J150" s="102"/>
      <c r="K150" s="102"/>
      <c r="L150" s="30"/>
      <c r="M150" s="30"/>
      <c r="N150" s="30"/>
      <c r="O150" s="30"/>
      <c r="P150" s="30"/>
      <c r="Q150" s="30"/>
      <c r="R150" s="30"/>
    </row>
    <row r="151" spans="1:18" ht="15" customHeight="1" thickBot="1" x14ac:dyDescent="0.35">
      <c r="A151" s="21"/>
      <c r="B151" s="20" t="s">
        <v>38</v>
      </c>
      <c r="C151" s="54" t="s">
        <v>3</v>
      </c>
      <c r="D151" s="102"/>
      <c r="E151" s="43"/>
      <c r="F151" s="43"/>
      <c r="G151" s="102"/>
      <c r="H151" s="102"/>
      <c r="I151" s="102"/>
      <c r="J151" s="102"/>
      <c r="K151" s="102"/>
      <c r="L151" s="30"/>
      <c r="M151" s="30"/>
      <c r="N151" s="30"/>
      <c r="O151" s="30"/>
      <c r="P151" s="30"/>
      <c r="Q151" s="30"/>
      <c r="R151" s="30"/>
    </row>
    <row r="152" spans="1:18" ht="15" customHeight="1" thickBot="1" x14ac:dyDescent="0.35">
      <c r="A152" s="21"/>
      <c r="B152" s="20" t="s">
        <v>39</v>
      </c>
      <c r="C152" s="54" t="s">
        <v>142</v>
      </c>
      <c r="D152" s="102"/>
      <c r="E152" s="43"/>
      <c r="F152" s="43"/>
      <c r="G152" s="102"/>
      <c r="H152" s="102"/>
      <c r="I152" s="102"/>
      <c r="J152" s="102"/>
      <c r="K152" s="102"/>
      <c r="L152" s="30"/>
      <c r="M152" s="30"/>
      <c r="N152" s="30"/>
      <c r="O152" s="30"/>
      <c r="P152" s="30"/>
      <c r="Q152" s="30"/>
      <c r="R152" s="30"/>
    </row>
    <row r="153" spans="1:18" ht="15" customHeight="1" thickBot="1" x14ac:dyDescent="0.35">
      <c r="A153" s="21"/>
      <c r="B153" s="15" t="s">
        <v>40</v>
      </c>
      <c r="C153" s="54" t="s">
        <v>140</v>
      </c>
      <c r="D153" s="102"/>
      <c r="E153" s="43"/>
      <c r="F153" s="43"/>
      <c r="G153" s="102"/>
      <c r="H153" s="102"/>
      <c r="I153" s="102"/>
      <c r="J153" s="102"/>
      <c r="K153" s="102"/>
      <c r="L153" s="30"/>
      <c r="M153" s="30"/>
      <c r="N153" s="30"/>
      <c r="O153" s="30"/>
      <c r="P153" s="30"/>
      <c r="Q153" s="30"/>
      <c r="R153" s="30"/>
    </row>
    <row r="154" spans="1:18" ht="15" customHeight="1" thickBot="1" x14ac:dyDescent="0.35">
      <c r="A154" s="21"/>
      <c r="B154" s="20" t="s">
        <v>41</v>
      </c>
      <c r="C154" s="55" t="s">
        <v>142</v>
      </c>
      <c r="D154" s="102"/>
      <c r="E154" s="43"/>
      <c r="F154" s="43"/>
      <c r="G154" s="102"/>
      <c r="H154" s="102"/>
      <c r="I154" s="102"/>
      <c r="J154" s="102"/>
      <c r="K154" s="102"/>
      <c r="L154" s="30"/>
      <c r="M154" s="30"/>
      <c r="N154" s="30"/>
      <c r="O154" s="30"/>
      <c r="P154" s="30"/>
      <c r="Q154" s="30"/>
      <c r="R154" s="30"/>
    </row>
    <row r="155" spans="1:18" ht="15" customHeight="1" thickBot="1" x14ac:dyDescent="0.35">
      <c r="A155" s="21"/>
      <c r="B155" s="20" t="s">
        <v>42</v>
      </c>
      <c r="C155" s="20" t="s">
        <v>140</v>
      </c>
      <c r="D155" s="102"/>
      <c r="E155" s="43"/>
      <c r="F155" s="43"/>
      <c r="G155" s="102"/>
      <c r="H155" s="102"/>
      <c r="I155" s="102"/>
      <c r="J155" s="102"/>
      <c r="K155" s="102"/>
      <c r="L155" s="30"/>
      <c r="M155" s="30"/>
      <c r="N155" s="30"/>
      <c r="O155" s="30"/>
      <c r="P155" s="30"/>
      <c r="Q155" s="30"/>
      <c r="R155" s="30"/>
    </row>
    <row r="156" spans="1:18" ht="15" customHeight="1" thickBot="1" x14ac:dyDescent="0.35">
      <c r="A156" s="21"/>
      <c r="B156" s="20" t="s">
        <v>43</v>
      </c>
      <c r="C156" s="20" t="s">
        <v>142</v>
      </c>
      <c r="D156" s="102"/>
      <c r="E156" s="43"/>
      <c r="F156" s="43"/>
      <c r="G156" s="102"/>
      <c r="H156" s="102"/>
      <c r="I156" s="102"/>
      <c r="J156" s="102"/>
      <c r="K156" s="102"/>
      <c r="L156" s="30"/>
      <c r="M156" s="30"/>
      <c r="N156" s="30"/>
      <c r="O156" s="30"/>
      <c r="P156" s="30"/>
      <c r="Q156" s="30"/>
      <c r="R156" s="30"/>
    </row>
    <row r="157" spans="1:18" ht="15" customHeight="1" thickBot="1" x14ac:dyDescent="0.35">
      <c r="A157" s="21"/>
      <c r="B157" s="20" t="s">
        <v>44</v>
      </c>
      <c r="C157" s="54" t="s">
        <v>140</v>
      </c>
      <c r="D157" s="102"/>
      <c r="E157" s="43"/>
      <c r="F157" s="43"/>
      <c r="G157" s="102"/>
      <c r="H157" s="102"/>
      <c r="I157" s="102"/>
      <c r="J157" s="102"/>
      <c r="K157" s="102"/>
      <c r="L157" s="30"/>
      <c r="M157" s="30"/>
      <c r="N157" s="30"/>
      <c r="O157" s="30"/>
      <c r="P157" s="30"/>
      <c r="Q157" s="30"/>
      <c r="R157" s="30"/>
    </row>
    <row r="158" spans="1:18" ht="15" customHeight="1" thickBot="1" x14ac:dyDescent="0.35">
      <c r="A158" s="21"/>
      <c r="B158" s="20" t="s">
        <v>102</v>
      </c>
      <c r="C158" s="54" t="s">
        <v>140</v>
      </c>
      <c r="D158" s="102"/>
      <c r="E158" s="47"/>
      <c r="F158" s="43"/>
      <c r="G158" s="102"/>
      <c r="H158" s="102"/>
      <c r="I158" s="102"/>
      <c r="J158" s="102"/>
      <c r="K158" s="102"/>
      <c r="L158" s="30"/>
      <c r="M158" s="30"/>
      <c r="N158" s="30"/>
      <c r="O158" s="30"/>
      <c r="P158" s="30"/>
      <c r="Q158" s="30"/>
      <c r="R158" s="30"/>
    </row>
    <row r="159" spans="1:18" ht="15" customHeight="1" thickBot="1" x14ac:dyDescent="0.35">
      <c r="A159" s="21"/>
      <c r="B159" s="20" t="s">
        <v>46</v>
      </c>
      <c r="C159" s="54" t="s">
        <v>140</v>
      </c>
      <c r="D159" s="102"/>
      <c r="E159" s="43"/>
      <c r="F159" s="43"/>
      <c r="G159" s="102"/>
      <c r="H159" s="102"/>
      <c r="I159" s="102"/>
      <c r="J159" s="102"/>
      <c r="K159" s="102"/>
      <c r="L159" s="30"/>
      <c r="M159" s="30"/>
      <c r="N159" s="30"/>
      <c r="O159" s="30"/>
      <c r="P159" s="30"/>
      <c r="Q159" s="30"/>
      <c r="R159" s="30"/>
    </row>
    <row r="160" spans="1:18" ht="15" customHeight="1" thickBot="1" x14ac:dyDescent="0.35">
      <c r="A160" s="21"/>
      <c r="B160" s="20" t="s">
        <v>47</v>
      </c>
      <c r="C160" s="54" t="s">
        <v>140</v>
      </c>
      <c r="D160" s="102"/>
      <c r="E160" s="43"/>
      <c r="F160" s="43"/>
      <c r="G160" s="102"/>
      <c r="H160" s="102"/>
      <c r="I160" s="102"/>
      <c r="J160" s="102"/>
      <c r="K160" s="102"/>
      <c r="L160" s="30"/>
      <c r="M160" s="30"/>
      <c r="N160" s="30"/>
      <c r="O160" s="30"/>
      <c r="P160" s="30"/>
      <c r="Q160" s="30"/>
      <c r="R160" s="30"/>
    </row>
    <row r="161" spans="1:18" ht="15" customHeight="1" thickBot="1" x14ac:dyDescent="0.35">
      <c r="A161" s="21"/>
      <c r="B161" s="20" t="s">
        <v>48</v>
      </c>
      <c r="C161" s="54" t="s">
        <v>140</v>
      </c>
      <c r="D161" s="102"/>
      <c r="E161" s="43"/>
      <c r="F161" s="43"/>
      <c r="G161" s="102"/>
      <c r="H161" s="102"/>
      <c r="I161" s="102"/>
      <c r="J161" s="102"/>
      <c r="K161" s="102"/>
      <c r="L161" s="30"/>
      <c r="M161" s="30"/>
      <c r="N161" s="30"/>
      <c r="O161" s="30"/>
      <c r="P161" s="30"/>
      <c r="Q161" s="30"/>
      <c r="R161" s="30"/>
    </row>
    <row r="162" spans="1:18" ht="15" customHeight="1" thickBot="1" x14ac:dyDescent="0.35">
      <c r="A162" s="21"/>
      <c r="B162" s="17" t="s">
        <v>49</v>
      </c>
      <c r="C162" s="54" t="s">
        <v>141</v>
      </c>
      <c r="D162" s="102"/>
      <c r="E162" s="43"/>
      <c r="F162" s="43"/>
      <c r="G162" s="102"/>
      <c r="H162" s="102"/>
      <c r="I162" s="102"/>
      <c r="J162" s="102"/>
      <c r="K162" s="102"/>
      <c r="L162" s="30"/>
      <c r="M162" s="30"/>
      <c r="N162" s="30"/>
      <c r="O162" s="30"/>
      <c r="P162" s="30"/>
      <c r="Q162" s="30"/>
      <c r="R162" s="30"/>
    </row>
    <row r="163" spans="1:18" ht="15" customHeight="1" thickBot="1" x14ac:dyDescent="0.35">
      <c r="A163" s="21"/>
      <c r="B163" s="20" t="s">
        <v>50</v>
      </c>
      <c r="C163" s="54" t="s">
        <v>3</v>
      </c>
      <c r="D163" s="102"/>
      <c r="E163" s="43"/>
      <c r="F163" s="43"/>
      <c r="G163" s="102"/>
      <c r="H163" s="102"/>
      <c r="I163" s="102"/>
      <c r="J163" s="102"/>
      <c r="K163" s="102"/>
      <c r="L163" s="30"/>
      <c r="M163" s="30"/>
      <c r="N163" s="30"/>
      <c r="O163" s="30"/>
      <c r="P163" s="30"/>
      <c r="Q163" s="30"/>
      <c r="R163" s="30"/>
    </row>
    <row r="164" spans="1:18" ht="15" customHeight="1" thickBot="1" x14ac:dyDescent="0.35">
      <c r="A164" s="21"/>
      <c r="B164" s="20" t="s">
        <v>51</v>
      </c>
      <c r="C164" s="54" t="s">
        <v>3</v>
      </c>
      <c r="D164" s="102"/>
      <c r="E164" s="43"/>
      <c r="F164" s="43"/>
      <c r="G164" s="102"/>
      <c r="H164" s="102"/>
      <c r="I164" s="102"/>
      <c r="J164" s="102"/>
      <c r="K164" s="102"/>
      <c r="L164" s="30"/>
      <c r="M164" s="30"/>
      <c r="N164" s="30"/>
      <c r="O164" s="30"/>
      <c r="P164" s="30"/>
      <c r="Q164" s="30"/>
      <c r="R164" s="30"/>
    </row>
    <row r="165" spans="1:18" ht="15" customHeight="1" thickBot="1" x14ac:dyDescent="0.35">
      <c r="A165" s="21"/>
      <c r="B165" s="20" t="s">
        <v>52</v>
      </c>
      <c r="C165" s="54" t="s">
        <v>140</v>
      </c>
      <c r="D165" s="102"/>
      <c r="E165" s="43"/>
      <c r="F165" s="43"/>
      <c r="G165" s="102"/>
      <c r="H165" s="102"/>
      <c r="I165" s="102"/>
      <c r="J165" s="102"/>
      <c r="K165" s="102"/>
      <c r="L165" s="30"/>
      <c r="M165" s="30"/>
      <c r="N165" s="30"/>
      <c r="O165" s="30"/>
      <c r="P165" s="30"/>
      <c r="Q165" s="30"/>
      <c r="R165" s="30"/>
    </row>
    <row r="166" spans="1:18" ht="15" customHeight="1" thickBot="1" x14ac:dyDescent="0.35">
      <c r="A166" s="21"/>
      <c r="B166" s="20" t="s">
        <v>91</v>
      </c>
      <c r="C166" s="54" t="s">
        <v>140</v>
      </c>
      <c r="D166" s="102"/>
      <c r="E166" s="43"/>
      <c r="F166" s="43"/>
      <c r="G166" s="102"/>
      <c r="H166" s="102"/>
      <c r="I166" s="102"/>
      <c r="J166" s="102"/>
      <c r="K166" s="102"/>
      <c r="L166" s="30"/>
      <c r="M166" s="30"/>
      <c r="N166" s="30"/>
      <c r="O166" s="30"/>
      <c r="P166" s="30"/>
      <c r="Q166" s="30"/>
      <c r="R166" s="30"/>
    </row>
    <row r="167" spans="1:18" ht="15" customHeight="1" thickBot="1" x14ac:dyDescent="0.35">
      <c r="A167" s="21"/>
      <c r="B167" s="20" t="s">
        <v>53</v>
      </c>
      <c r="C167" s="54" t="s">
        <v>13</v>
      </c>
      <c r="D167" s="102"/>
      <c r="E167" s="43"/>
      <c r="F167" s="43"/>
      <c r="G167" s="102"/>
      <c r="H167" s="102"/>
      <c r="I167" s="102"/>
      <c r="J167" s="102"/>
      <c r="K167" s="102"/>
      <c r="L167" s="30"/>
      <c r="M167" s="30"/>
      <c r="N167" s="30"/>
      <c r="O167" s="30"/>
      <c r="P167" s="30"/>
      <c r="Q167" s="30"/>
      <c r="R167" s="30"/>
    </row>
    <row r="168" spans="1:18" ht="15" customHeight="1" thickBot="1" x14ac:dyDescent="0.35">
      <c r="A168" s="21"/>
      <c r="B168" s="15" t="s">
        <v>92</v>
      </c>
      <c r="C168" s="54" t="s">
        <v>3</v>
      </c>
      <c r="D168" s="102"/>
      <c r="E168" s="43"/>
      <c r="F168" s="43"/>
      <c r="G168" s="102"/>
      <c r="H168" s="102"/>
      <c r="I168" s="102"/>
      <c r="J168" s="102"/>
      <c r="K168" s="102"/>
      <c r="L168" s="30"/>
      <c r="M168" s="30"/>
      <c r="N168" s="30"/>
      <c r="O168" s="30"/>
      <c r="P168" s="30"/>
      <c r="Q168" s="30"/>
      <c r="R168" s="30"/>
    </row>
    <row r="169" spans="1:18" ht="15" customHeight="1" thickBot="1" x14ac:dyDescent="0.35">
      <c r="A169" s="21"/>
      <c r="B169" s="15" t="s">
        <v>54</v>
      </c>
      <c r="C169" s="54" t="s">
        <v>140</v>
      </c>
      <c r="D169" s="102"/>
      <c r="E169" s="43"/>
      <c r="F169" s="43"/>
      <c r="G169" s="102"/>
      <c r="H169" s="102"/>
      <c r="I169" s="102"/>
      <c r="J169" s="102"/>
      <c r="K169" s="102"/>
      <c r="L169" s="30"/>
      <c r="M169" s="30"/>
      <c r="N169" s="30"/>
      <c r="O169" s="30"/>
      <c r="P169" s="30"/>
      <c r="Q169" s="30"/>
      <c r="R169" s="30"/>
    </row>
    <row r="170" spans="1:18" ht="15" customHeight="1" thickBot="1" x14ac:dyDescent="0.35">
      <c r="A170" s="21"/>
      <c r="B170" s="15" t="s">
        <v>55</v>
      </c>
      <c r="C170" s="54" t="s">
        <v>140</v>
      </c>
      <c r="D170" s="102"/>
      <c r="E170" s="43"/>
      <c r="F170" s="43"/>
      <c r="G170" s="102"/>
      <c r="H170" s="102"/>
      <c r="I170" s="102"/>
      <c r="J170" s="102"/>
      <c r="K170" s="102"/>
      <c r="L170" s="30"/>
      <c r="M170" s="30"/>
      <c r="N170" s="30"/>
      <c r="O170" s="30"/>
      <c r="P170" s="30"/>
      <c r="Q170" s="30"/>
      <c r="R170" s="30"/>
    </row>
    <row r="171" spans="1:18" ht="15" customHeight="1" thickBot="1" x14ac:dyDescent="0.35">
      <c r="A171" s="21"/>
      <c r="B171" s="15" t="s">
        <v>56</v>
      </c>
      <c r="C171" s="54" t="s">
        <v>3</v>
      </c>
      <c r="D171" s="102"/>
      <c r="E171" s="43"/>
      <c r="F171" s="43"/>
      <c r="G171" s="102"/>
      <c r="H171" s="102"/>
      <c r="I171" s="102"/>
      <c r="J171" s="102"/>
      <c r="K171" s="102"/>
      <c r="L171" s="30"/>
      <c r="M171" s="30"/>
      <c r="N171" s="30"/>
      <c r="O171" s="30"/>
      <c r="P171" s="30"/>
      <c r="Q171" s="30"/>
      <c r="R171" s="30"/>
    </row>
    <row r="172" spans="1:18" ht="15" customHeight="1" thickBot="1" x14ac:dyDescent="0.35">
      <c r="A172" s="21"/>
      <c r="B172" s="15" t="s">
        <v>57</v>
      </c>
      <c r="C172" s="56" t="s">
        <v>3</v>
      </c>
      <c r="D172" s="102"/>
      <c r="E172" s="102"/>
      <c r="F172" s="102"/>
      <c r="G172" s="102"/>
      <c r="H172" s="102"/>
      <c r="I172" s="102"/>
      <c r="J172" s="102"/>
      <c r="K172" s="102"/>
      <c r="L172" s="30"/>
      <c r="M172" s="30"/>
      <c r="N172" s="30"/>
      <c r="O172" s="30"/>
      <c r="P172" s="30"/>
      <c r="Q172" s="30"/>
      <c r="R172" s="30"/>
    </row>
    <row r="173" spans="1:18" ht="15" customHeight="1" thickBot="1" x14ac:dyDescent="0.35">
      <c r="A173" s="21"/>
      <c r="B173" s="20" t="s">
        <v>58</v>
      </c>
      <c r="C173" s="54" t="s">
        <v>140</v>
      </c>
      <c r="D173" s="102"/>
      <c r="E173" s="102"/>
      <c r="F173" s="102"/>
      <c r="G173" s="102"/>
      <c r="H173" s="102"/>
      <c r="I173" s="102"/>
      <c r="J173" s="102"/>
      <c r="K173" s="102"/>
      <c r="L173" s="30"/>
      <c r="M173" s="30"/>
      <c r="N173" s="30"/>
      <c r="O173" s="30"/>
      <c r="P173" s="30"/>
      <c r="Q173" s="30"/>
      <c r="R173" s="30"/>
    </row>
    <row r="174" spans="1:18" ht="15" customHeight="1" thickBot="1" x14ac:dyDescent="0.35">
      <c r="A174" s="21"/>
      <c r="B174" s="15" t="s">
        <v>93</v>
      </c>
      <c r="C174" s="54" t="s">
        <v>140</v>
      </c>
      <c r="D174" s="102"/>
      <c r="E174" s="102"/>
      <c r="F174" s="102"/>
      <c r="G174" s="102"/>
      <c r="H174" s="102"/>
      <c r="I174" s="102"/>
      <c r="J174" s="102"/>
      <c r="K174" s="102"/>
      <c r="L174" s="30"/>
      <c r="M174" s="30"/>
      <c r="N174" s="30"/>
      <c r="O174" s="30"/>
      <c r="P174" s="30"/>
      <c r="Q174" s="30"/>
      <c r="R174" s="30"/>
    </row>
    <row r="175" spans="1:18" ht="15" customHeight="1" thickBot="1" x14ac:dyDescent="0.35">
      <c r="A175" s="21"/>
      <c r="B175" s="20" t="s">
        <v>59</v>
      </c>
      <c r="C175" s="54" t="s">
        <v>140</v>
      </c>
      <c r="D175" s="102"/>
      <c r="E175" s="102"/>
      <c r="F175" s="102"/>
      <c r="G175" s="102"/>
      <c r="H175" s="102"/>
      <c r="I175" s="102"/>
      <c r="J175" s="102"/>
      <c r="K175" s="102"/>
      <c r="L175" s="30"/>
      <c r="M175" s="30"/>
      <c r="N175" s="30"/>
      <c r="O175" s="30"/>
      <c r="P175" s="30"/>
      <c r="Q175" s="30"/>
      <c r="R175" s="30"/>
    </row>
    <row r="176" spans="1:18" ht="15" customHeight="1" thickBot="1" x14ac:dyDescent="0.35">
      <c r="A176" s="21"/>
      <c r="B176" s="20" t="s">
        <v>60</v>
      </c>
      <c r="C176" s="54" t="s">
        <v>3</v>
      </c>
      <c r="D176" s="102"/>
      <c r="E176" s="102"/>
      <c r="F176" s="102"/>
      <c r="G176" s="102"/>
      <c r="H176" s="102"/>
      <c r="I176" s="102"/>
      <c r="J176" s="102"/>
      <c r="K176" s="102"/>
      <c r="L176" s="30"/>
      <c r="M176" s="30"/>
      <c r="N176" s="30"/>
      <c r="O176" s="30"/>
      <c r="P176" s="30"/>
      <c r="Q176" s="30"/>
      <c r="R176" s="30"/>
    </row>
    <row r="177" spans="1:18" ht="15" customHeight="1" thickBot="1" x14ac:dyDescent="0.35">
      <c r="A177" s="21"/>
      <c r="B177" s="20" t="s">
        <v>61</v>
      </c>
      <c r="C177" s="54" t="s">
        <v>140</v>
      </c>
      <c r="D177" s="102"/>
      <c r="E177" s="102"/>
      <c r="F177" s="102"/>
      <c r="G177" s="102"/>
      <c r="H177" s="102"/>
      <c r="I177" s="102"/>
      <c r="J177" s="102"/>
      <c r="K177" s="102"/>
      <c r="L177" s="30"/>
      <c r="M177" s="30"/>
      <c r="N177" s="30"/>
      <c r="O177" s="30"/>
      <c r="P177" s="30"/>
      <c r="Q177" s="30"/>
      <c r="R177" s="30"/>
    </row>
    <row r="178" spans="1:18" ht="15" customHeight="1" thickBot="1" x14ac:dyDescent="0.35">
      <c r="A178" s="21"/>
      <c r="B178" s="20" t="s">
        <v>62</v>
      </c>
      <c r="C178" s="54" t="s">
        <v>140</v>
      </c>
      <c r="D178" s="102"/>
      <c r="E178" s="102"/>
      <c r="F178" s="102"/>
      <c r="G178" s="102"/>
      <c r="H178" s="102"/>
      <c r="I178" s="102"/>
      <c r="J178" s="102"/>
      <c r="K178" s="102"/>
      <c r="L178" s="30"/>
      <c r="M178" s="30"/>
      <c r="N178" s="30"/>
      <c r="O178" s="30"/>
      <c r="P178" s="30"/>
      <c r="Q178" s="30"/>
      <c r="R178" s="30"/>
    </row>
    <row r="179" spans="1:18" ht="15" customHeight="1" thickBot="1" x14ac:dyDescent="0.35">
      <c r="A179" s="21"/>
      <c r="B179" s="20" t="s">
        <v>63</v>
      </c>
      <c r="C179" s="54" t="s">
        <v>140</v>
      </c>
      <c r="D179" s="102"/>
      <c r="E179" s="102"/>
      <c r="F179" s="102"/>
      <c r="G179" s="102"/>
      <c r="H179" s="102"/>
      <c r="I179" s="102"/>
      <c r="J179" s="102"/>
      <c r="K179" s="102"/>
      <c r="L179" s="30"/>
      <c r="M179" s="30"/>
      <c r="N179" s="30"/>
      <c r="O179" s="30"/>
      <c r="P179" s="30"/>
      <c r="Q179" s="30"/>
      <c r="R179" s="30"/>
    </row>
    <row r="180" spans="1:18" ht="15" customHeight="1" thickBot="1" x14ac:dyDescent="0.35">
      <c r="A180" s="21"/>
      <c r="B180" s="20" t="s">
        <v>64</v>
      </c>
      <c r="C180" s="54" t="s">
        <v>140</v>
      </c>
      <c r="D180" s="102"/>
      <c r="E180" s="102"/>
      <c r="F180" s="102"/>
      <c r="G180" s="102"/>
      <c r="H180" s="102"/>
      <c r="I180" s="102"/>
      <c r="J180" s="102"/>
      <c r="K180" s="102"/>
      <c r="L180" s="30"/>
      <c r="M180" s="30"/>
      <c r="N180" s="30"/>
      <c r="O180" s="30"/>
      <c r="P180" s="30"/>
      <c r="Q180" s="30"/>
      <c r="R180" s="30"/>
    </row>
    <row r="181" spans="1:18" ht="15" customHeight="1" thickBot="1" x14ac:dyDescent="0.35">
      <c r="A181" s="21"/>
      <c r="B181" s="17" t="s">
        <v>65</v>
      </c>
      <c r="C181" s="54" t="s">
        <v>141</v>
      </c>
      <c r="D181" s="102"/>
      <c r="E181" s="102"/>
      <c r="F181" s="102"/>
      <c r="G181" s="102"/>
      <c r="H181" s="102"/>
      <c r="I181" s="102"/>
      <c r="J181" s="102"/>
      <c r="K181" s="102"/>
      <c r="L181" s="30"/>
      <c r="M181" s="30"/>
      <c r="N181" s="30"/>
      <c r="O181" s="30"/>
      <c r="P181" s="30"/>
      <c r="Q181" s="30"/>
      <c r="R181" s="30"/>
    </row>
    <row r="182" spans="1:18" ht="15" customHeight="1" thickBot="1" x14ac:dyDescent="0.35">
      <c r="A182" s="21"/>
      <c r="B182" s="20" t="s">
        <v>66</v>
      </c>
      <c r="C182" s="54" t="s">
        <v>3</v>
      </c>
      <c r="D182" s="102"/>
      <c r="E182" s="102"/>
      <c r="F182" s="102"/>
      <c r="G182" s="102"/>
      <c r="H182" s="102"/>
      <c r="I182" s="102"/>
      <c r="J182" s="102"/>
      <c r="K182" s="102"/>
      <c r="L182" s="30"/>
      <c r="M182" s="30"/>
      <c r="N182" s="30"/>
      <c r="O182" s="30"/>
      <c r="P182" s="30"/>
      <c r="Q182" s="30"/>
      <c r="R182" s="30"/>
    </row>
    <row r="183" spans="1:18" ht="15" customHeight="1" thickBot="1" x14ac:dyDescent="0.35">
      <c r="A183" s="21"/>
      <c r="B183" s="20" t="s">
        <v>67</v>
      </c>
      <c r="C183" s="54" t="s">
        <v>140</v>
      </c>
      <c r="D183" s="102"/>
      <c r="E183" s="102"/>
      <c r="F183" s="102"/>
      <c r="G183" s="102"/>
      <c r="H183" s="102"/>
      <c r="I183" s="102"/>
      <c r="J183" s="102"/>
      <c r="K183" s="102"/>
      <c r="L183" s="30"/>
      <c r="M183" s="30"/>
      <c r="N183" s="30"/>
      <c r="O183" s="30"/>
      <c r="P183" s="30"/>
      <c r="Q183" s="30"/>
      <c r="R183" s="30"/>
    </row>
    <row r="184" spans="1:18" ht="15" customHeight="1" thickBot="1" x14ac:dyDescent="0.35">
      <c r="A184" s="21"/>
      <c r="B184" s="13" t="s">
        <v>68</v>
      </c>
      <c r="C184" s="54" t="s">
        <v>140</v>
      </c>
      <c r="D184" s="102"/>
      <c r="E184" s="102"/>
      <c r="F184" s="102"/>
      <c r="G184" s="102"/>
      <c r="H184" s="102"/>
      <c r="I184" s="102"/>
      <c r="J184" s="102"/>
      <c r="K184" s="102"/>
      <c r="L184" s="30"/>
      <c r="M184" s="30"/>
      <c r="N184" s="30"/>
      <c r="O184" s="30"/>
      <c r="P184" s="30"/>
      <c r="Q184" s="30"/>
      <c r="R184" s="30"/>
    </row>
    <row r="185" spans="1:18" ht="15" customHeight="1" thickBot="1" x14ac:dyDescent="0.35">
      <c r="A185" s="21"/>
      <c r="B185" s="20" t="s">
        <v>69</v>
      </c>
      <c r="C185" s="54" t="s">
        <v>142</v>
      </c>
      <c r="D185" s="102"/>
      <c r="E185" s="102"/>
      <c r="F185" s="102"/>
      <c r="G185" s="102"/>
      <c r="H185" s="102"/>
      <c r="I185" s="102"/>
      <c r="J185" s="102"/>
      <c r="K185" s="102"/>
      <c r="L185" s="30"/>
      <c r="M185" s="30"/>
      <c r="N185" s="30"/>
      <c r="O185" s="30"/>
      <c r="P185" s="30"/>
      <c r="Q185" s="30"/>
      <c r="R185" s="30"/>
    </row>
    <row r="186" spans="1:18" ht="15" customHeight="1" thickBot="1" x14ac:dyDescent="0.35">
      <c r="A186" s="21"/>
      <c r="B186" s="20" t="s">
        <v>70</v>
      </c>
      <c r="C186" s="54" t="s">
        <v>140</v>
      </c>
      <c r="D186" s="102"/>
      <c r="E186" s="102"/>
      <c r="F186" s="102"/>
      <c r="G186" s="102"/>
      <c r="H186" s="102"/>
      <c r="I186" s="102"/>
      <c r="J186" s="102"/>
      <c r="K186" s="102"/>
      <c r="L186" s="30"/>
      <c r="M186" s="30"/>
      <c r="N186" s="30"/>
      <c r="O186" s="30"/>
      <c r="P186" s="30"/>
      <c r="Q186" s="30"/>
      <c r="R186" s="30"/>
    </row>
    <row r="187" spans="1:18" ht="15" customHeight="1" thickBot="1" x14ac:dyDescent="0.35">
      <c r="A187" s="21"/>
      <c r="B187" s="17" t="s">
        <v>71</v>
      </c>
      <c r="C187" s="54" t="s">
        <v>141</v>
      </c>
      <c r="D187" s="102"/>
      <c r="E187" s="102"/>
      <c r="F187" s="102"/>
      <c r="G187" s="102"/>
      <c r="H187" s="102"/>
      <c r="I187" s="102"/>
      <c r="J187" s="102"/>
      <c r="K187" s="102"/>
      <c r="L187" s="30"/>
      <c r="M187" s="30"/>
      <c r="N187" s="30"/>
      <c r="O187" s="30"/>
      <c r="P187" s="30"/>
      <c r="Q187" s="30"/>
      <c r="R187" s="30"/>
    </row>
    <row r="188" spans="1:18" ht="15" customHeight="1" thickBot="1" x14ac:dyDescent="0.35">
      <c r="A188" s="21"/>
      <c r="B188" s="17" t="s">
        <v>72</v>
      </c>
      <c r="C188" s="54" t="s">
        <v>141</v>
      </c>
      <c r="D188" s="102"/>
      <c r="E188" s="102"/>
      <c r="F188" s="102"/>
      <c r="G188" s="102"/>
      <c r="H188" s="102"/>
      <c r="I188" s="102"/>
      <c r="J188" s="102"/>
      <c r="K188" s="102"/>
      <c r="L188" s="30"/>
      <c r="M188" s="30"/>
      <c r="N188" s="30"/>
      <c r="O188" s="30"/>
      <c r="P188" s="30"/>
      <c r="Q188" s="30"/>
      <c r="R188" s="30"/>
    </row>
    <row r="189" spans="1:18" ht="15" customHeight="1" thickBot="1" x14ac:dyDescent="0.35">
      <c r="A189" s="21"/>
      <c r="B189" s="20" t="s">
        <v>73</v>
      </c>
      <c r="C189" s="54" t="s">
        <v>3</v>
      </c>
      <c r="D189" s="102"/>
      <c r="E189" s="102"/>
      <c r="F189" s="102"/>
      <c r="G189" s="102"/>
      <c r="H189" s="102"/>
      <c r="I189" s="102"/>
      <c r="J189" s="102"/>
      <c r="K189" s="102"/>
      <c r="L189" s="30"/>
      <c r="M189" s="30"/>
      <c r="N189" s="30"/>
      <c r="O189" s="30"/>
      <c r="P189" s="30"/>
      <c r="Q189" s="30"/>
      <c r="R189" s="30"/>
    </row>
    <row r="190" spans="1:18" ht="15" customHeight="1" thickBot="1" x14ac:dyDescent="0.35">
      <c r="A190" s="21"/>
      <c r="B190" s="20" t="s">
        <v>74</v>
      </c>
      <c r="C190" s="54" t="s">
        <v>140</v>
      </c>
      <c r="D190" s="102"/>
      <c r="E190" s="102"/>
      <c r="F190" s="102"/>
      <c r="G190" s="102"/>
      <c r="H190" s="102"/>
      <c r="I190" s="102"/>
      <c r="J190" s="102"/>
      <c r="K190" s="102"/>
      <c r="L190" s="30"/>
      <c r="M190" s="30"/>
      <c r="N190" s="30"/>
      <c r="O190" s="30"/>
      <c r="P190" s="30"/>
      <c r="Q190" s="30"/>
      <c r="R190" s="30"/>
    </row>
    <row r="191" spans="1:18" ht="15" customHeight="1" thickBot="1" x14ac:dyDescent="0.35">
      <c r="A191" s="21"/>
      <c r="B191" s="20" t="s">
        <v>75</v>
      </c>
      <c r="C191" s="54" t="s">
        <v>143</v>
      </c>
      <c r="D191" s="102"/>
      <c r="E191" s="102"/>
      <c r="F191" s="102"/>
      <c r="G191" s="102"/>
      <c r="H191" s="102"/>
      <c r="I191" s="102"/>
      <c r="J191" s="102"/>
      <c r="K191" s="102"/>
      <c r="L191" s="30"/>
      <c r="M191" s="30"/>
      <c r="N191" s="30"/>
      <c r="O191" s="30"/>
      <c r="P191" s="30"/>
      <c r="Q191" s="30"/>
      <c r="R191" s="30"/>
    </row>
    <row r="192" spans="1:18" ht="15" customHeight="1" thickBot="1" x14ac:dyDescent="0.35">
      <c r="A192" s="21"/>
      <c r="B192" s="20" t="s">
        <v>76</v>
      </c>
      <c r="C192" s="54" t="s">
        <v>3</v>
      </c>
      <c r="D192" s="102"/>
      <c r="E192" s="102"/>
      <c r="F192" s="102"/>
      <c r="G192" s="102"/>
      <c r="H192" s="102"/>
      <c r="I192" s="102"/>
      <c r="J192" s="102"/>
      <c r="K192" s="102"/>
      <c r="L192" s="30"/>
      <c r="M192" s="30"/>
      <c r="N192" s="30"/>
      <c r="O192" s="30"/>
      <c r="P192" s="30"/>
      <c r="Q192" s="30"/>
      <c r="R192" s="30"/>
    </row>
    <row r="193" spans="1:18" ht="15" customHeight="1" thickBot="1" x14ac:dyDescent="0.35">
      <c r="A193" s="21"/>
      <c r="B193" s="20" t="s">
        <v>77</v>
      </c>
      <c r="C193" s="54" t="s">
        <v>142</v>
      </c>
      <c r="D193" s="102"/>
      <c r="E193" s="102"/>
      <c r="F193" s="102"/>
      <c r="G193" s="102"/>
      <c r="H193" s="102"/>
      <c r="I193" s="102"/>
      <c r="J193" s="102"/>
      <c r="K193" s="102"/>
      <c r="L193" s="30"/>
      <c r="M193" s="30"/>
      <c r="N193" s="30"/>
      <c r="O193" s="30"/>
      <c r="P193" s="30"/>
      <c r="Q193" s="30"/>
      <c r="R193" s="30"/>
    </row>
    <row r="194" spans="1:18" ht="15" customHeight="1" thickBot="1" x14ac:dyDescent="0.35">
      <c r="A194" s="21"/>
      <c r="B194" s="20" t="s">
        <v>94</v>
      </c>
      <c r="C194" s="54" t="s">
        <v>140</v>
      </c>
      <c r="D194" s="102"/>
      <c r="E194" s="102"/>
      <c r="F194" s="102"/>
      <c r="G194" s="102"/>
      <c r="H194" s="102"/>
      <c r="I194" s="102"/>
      <c r="J194" s="102"/>
      <c r="K194" s="102"/>
      <c r="L194" s="30"/>
      <c r="M194" s="30"/>
      <c r="N194" s="30"/>
      <c r="O194" s="30"/>
      <c r="P194" s="30"/>
      <c r="Q194" s="30"/>
      <c r="R194" s="30"/>
    </row>
    <row r="195" spans="1:18" ht="15" customHeight="1" thickBot="1" x14ac:dyDescent="0.35">
      <c r="A195" s="21"/>
      <c r="B195" s="20" t="s">
        <v>123</v>
      </c>
      <c r="C195" s="54" t="s">
        <v>140</v>
      </c>
      <c r="D195" s="102"/>
      <c r="E195" s="102"/>
      <c r="F195" s="102"/>
      <c r="G195" s="102"/>
      <c r="H195" s="102"/>
      <c r="I195" s="102"/>
      <c r="J195" s="102"/>
      <c r="K195" s="102"/>
      <c r="L195" s="30"/>
      <c r="M195" s="30"/>
      <c r="N195" s="30"/>
      <c r="O195" s="30"/>
      <c r="P195" s="30"/>
      <c r="Q195" s="30"/>
      <c r="R195" s="30"/>
    </row>
    <row r="196" spans="1:18" ht="15" customHeight="1" thickBot="1" x14ac:dyDescent="0.35">
      <c r="A196" s="21"/>
      <c r="B196" s="20" t="s">
        <v>124</v>
      </c>
      <c r="C196" s="54" t="s">
        <v>140</v>
      </c>
      <c r="D196" s="102"/>
      <c r="E196" s="102"/>
      <c r="F196" s="102"/>
      <c r="G196" s="102"/>
      <c r="H196" s="102"/>
      <c r="I196" s="102"/>
      <c r="J196" s="102"/>
      <c r="K196" s="102"/>
      <c r="L196" s="30"/>
      <c r="M196" s="30"/>
      <c r="N196" s="30"/>
      <c r="O196" s="30"/>
      <c r="P196" s="30"/>
      <c r="Q196" s="30"/>
      <c r="R196" s="30"/>
    </row>
    <row r="197" spans="1:18" ht="15" customHeight="1" thickBot="1" x14ac:dyDescent="0.35">
      <c r="A197" s="21"/>
      <c r="B197" s="20" t="s">
        <v>126</v>
      </c>
      <c r="C197" s="54" t="s">
        <v>140</v>
      </c>
      <c r="D197" s="102"/>
      <c r="E197" s="102"/>
      <c r="F197" s="102"/>
      <c r="G197" s="102"/>
      <c r="H197" s="102"/>
      <c r="I197" s="102"/>
      <c r="J197" s="102"/>
      <c r="K197" s="102"/>
      <c r="L197" s="30"/>
      <c r="M197" s="30"/>
      <c r="N197" s="30"/>
      <c r="O197" s="30"/>
      <c r="P197" s="30"/>
      <c r="Q197" s="30"/>
      <c r="R197" s="30"/>
    </row>
    <row r="198" spans="1:18" ht="15" customHeight="1" thickBot="1" x14ac:dyDescent="0.35">
      <c r="A198" s="21"/>
      <c r="B198" s="20" t="s">
        <v>137</v>
      </c>
      <c r="C198" s="54" t="s">
        <v>140</v>
      </c>
      <c r="D198" s="102"/>
      <c r="E198" s="102"/>
      <c r="F198" s="102"/>
      <c r="G198" s="102"/>
      <c r="H198" s="102"/>
      <c r="I198" s="102"/>
      <c r="J198" s="102"/>
      <c r="K198" s="102"/>
      <c r="L198" s="30"/>
      <c r="M198" s="30"/>
      <c r="N198" s="30"/>
      <c r="O198" s="30"/>
      <c r="P198" s="30"/>
      <c r="Q198" s="30"/>
      <c r="R198" s="30"/>
    </row>
    <row r="199" spans="1:18" ht="15" customHeight="1" thickBot="1" x14ac:dyDescent="0.35">
      <c r="A199" s="21"/>
      <c r="B199" s="20" t="s">
        <v>128</v>
      </c>
      <c r="C199" s="54" t="s">
        <v>140</v>
      </c>
      <c r="D199" s="102"/>
      <c r="E199" s="102"/>
      <c r="F199" s="102"/>
      <c r="G199" s="102"/>
      <c r="H199" s="102"/>
      <c r="I199" s="102"/>
      <c r="J199" s="102"/>
      <c r="K199" s="102"/>
      <c r="L199" s="30"/>
      <c r="M199" s="30"/>
      <c r="N199" s="30"/>
      <c r="O199" s="30"/>
      <c r="P199" s="30"/>
      <c r="Q199" s="30"/>
      <c r="R199" s="30"/>
    </row>
    <row r="200" spans="1:18" ht="15" customHeight="1" thickBot="1" x14ac:dyDescent="0.35">
      <c r="A200" s="21"/>
      <c r="B200" s="20" t="s">
        <v>132</v>
      </c>
      <c r="C200" s="54" t="s">
        <v>140</v>
      </c>
      <c r="D200" s="102"/>
      <c r="E200" s="102"/>
      <c r="F200" s="102"/>
      <c r="G200" s="102"/>
      <c r="H200" s="102"/>
      <c r="I200" s="102"/>
      <c r="J200" s="102"/>
      <c r="K200" s="102"/>
      <c r="L200" s="30"/>
      <c r="M200" s="30"/>
      <c r="N200" s="30"/>
      <c r="O200" s="30"/>
      <c r="P200" s="30"/>
      <c r="Q200" s="30"/>
      <c r="R200" s="30"/>
    </row>
    <row r="201" spans="1:18" ht="15" customHeight="1" thickBot="1" x14ac:dyDescent="0.35">
      <c r="A201" s="21"/>
      <c r="B201" s="20" t="s">
        <v>136</v>
      </c>
      <c r="C201" s="54" t="s">
        <v>140</v>
      </c>
      <c r="D201" s="102"/>
      <c r="E201" s="102"/>
      <c r="F201" s="102"/>
      <c r="G201" s="102"/>
      <c r="H201" s="102"/>
      <c r="I201" s="102"/>
      <c r="J201" s="102"/>
      <c r="K201" s="102"/>
      <c r="L201" s="30"/>
      <c r="M201" s="30"/>
      <c r="N201" s="30"/>
      <c r="O201" s="30"/>
      <c r="P201" s="30"/>
      <c r="Q201" s="30"/>
      <c r="R201" s="30"/>
    </row>
    <row r="202" spans="1:18" ht="15" customHeight="1" thickBot="1" x14ac:dyDescent="0.35">
      <c r="A202" s="21"/>
      <c r="B202" s="17" t="s">
        <v>138</v>
      </c>
      <c r="C202" s="54" t="s">
        <v>141</v>
      </c>
      <c r="D202" s="102"/>
      <c r="E202" s="102"/>
      <c r="F202" s="102"/>
      <c r="G202" s="102"/>
      <c r="H202" s="102"/>
      <c r="I202" s="102"/>
      <c r="J202" s="102"/>
      <c r="K202" s="102"/>
      <c r="L202" s="30"/>
      <c r="M202" s="30"/>
      <c r="N202" s="30"/>
      <c r="O202" s="30"/>
      <c r="P202" s="30"/>
      <c r="Q202" s="30"/>
      <c r="R202" s="30"/>
    </row>
    <row r="203" spans="1:18" ht="15" customHeight="1" thickBot="1" x14ac:dyDescent="0.35">
      <c r="A203" s="21"/>
      <c r="B203" s="17" t="s">
        <v>130</v>
      </c>
      <c r="C203" s="54" t="s">
        <v>141</v>
      </c>
      <c r="D203" s="102"/>
      <c r="E203" s="102"/>
      <c r="F203" s="102"/>
      <c r="G203" s="102"/>
      <c r="H203" s="102"/>
      <c r="I203" s="102"/>
      <c r="J203" s="102"/>
      <c r="K203" s="102"/>
      <c r="L203" s="30"/>
      <c r="M203" s="30"/>
      <c r="N203" s="30"/>
      <c r="O203" s="30"/>
      <c r="P203" s="30"/>
      <c r="Q203" s="30"/>
      <c r="R203" s="30"/>
    </row>
    <row r="204" spans="1:18" ht="15" customHeight="1" thickBot="1" x14ac:dyDescent="0.35">
      <c r="A204" s="21"/>
      <c r="B204" s="17" t="s">
        <v>134</v>
      </c>
      <c r="C204" s="54" t="s">
        <v>141</v>
      </c>
      <c r="D204" s="102"/>
      <c r="E204" s="102"/>
      <c r="F204" s="102"/>
      <c r="G204" s="102"/>
      <c r="H204" s="102"/>
      <c r="I204" s="102"/>
      <c r="J204" s="102"/>
      <c r="K204" s="102"/>
      <c r="L204" s="30"/>
      <c r="M204" s="30"/>
      <c r="N204" s="30"/>
      <c r="O204" s="30"/>
      <c r="P204" s="30"/>
      <c r="Q204" s="30"/>
      <c r="R204" s="30"/>
    </row>
    <row r="205" spans="1:18" ht="15" customHeight="1" thickBot="1" x14ac:dyDescent="0.35">
      <c r="A205" s="21"/>
      <c r="B205" s="20" t="s">
        <v>121</v>
      </c>
      <c r="C205" s="54" t="s">
        <v>3</v>
      </c>
      <c r="D205" s="102"/>
      <c r="E205" s="102"/>
      <c r="F205" s="102"/>
      <c r="G205" s="102"/>
      <c r="H205" s="102"/>
      <c r="I205" s="102"/>
      <c r="J205" s="102"/>
      <c r="K205" s="102"/>
      <c r="L205" s="30"/>
      <c r="M205" s="30"/>
      <c r="N205" s="30"/>
      <c r="O205" s="30"/>
      <c r="P205" s="30"/>
      <c r="Q205" s="30"/>
      <c r="R205" s="30"/>
    </row>
    <row r="206" spans="1:18" ht="15" customHeight="1" thickBot="1" x14ac:dyDescent="0.35">
      <c r="A206" s="21"/>
      <c r="B206" s="20" t="s">
        <v>122</v>
      </c>
      <c r="C206" s="54" t="s">
        <v>3</v>
      </c>
      <c r="D206" s="102"/>
      <c r="E206" s="102"/>
      <c r="F206" s="102"/>
      <c r="G206" s="102"/>
      <c r="H206" s="102"/>
      <c r="I206" s="102"/>
      <c r="J206" s="102"/>
      <c r="K206" s="102"/>
      <c r="L206" s="30"/>
      <c r="M206" s="30"/>
      <c r="N206" s="30"/>
      <c r="O206" s="30"/>
      <c r="P206" s="30"/>
      <c r="Q206" s="30"/>
      <c r="R206" s="30"/>
    </row>
    <row r="207" spans="1:18" ht="15" customHeight="1" thickBot="1" x14ac:dyDescent="0.35">
      <c r="A207" s="21"/>
      <c r="B207" s="20" t="s">
        <v>125</v>
      </c>
      <c r="C207" s="54" t="s">
        <v>3</v>
      </c>
      <c r="D207" s="102"/>
      <c r="E207" s="102"/>
      <c r="F207" s="102"/>
      <c r="G207" s="102"/>
      <c r="H207" s="102"/>
      <c r="I207" s="102"/>
      <c r="J207" s="102"/>
      <c r="K207" s="102"/>
      <c r="L207" s="30"/>
      <c r="M207" s="30"/>
      <c r="N207" s="30"/>
      <c r="O207" s="30"/>
      <c r="P207" s="30"/>
      <c r="Q207" s="30"/>
      <c r="R207" s="30"/>
    </row>
    <row r="208" spans="1:18" ht="15" customHeight="1" thickBot="1" x14ac:dyDescent="0.35">
      <c r="A208" s="21"/>
      <c r="B208" s="20" t="s">
        <v>127</v>
      </c>
      <c r="C208" s="54" t="s">
        <v>3</v>
      </c>
      <c r="D208" s="102"/>
      <c r="E208" s="102"/>
      <c r="F208" s="102"/>
      <c r="G208" s="102"/>
      <c r="H208" s="102"/>
      <c r="I208" s="102"/>
      <c r="J208" s="102"/>
      <c r="K208" s="102"/>
      <c r="L208" s="30"/>
      <c r="M208" s="30"/>
      <c r="N208" s="30"/>
      <c r="O208" s="30"/>
      <c r="P208" s="30"/>
      <c r="Q208" s="30"/>
      <c r="R208" s="30"/>
    </row>
    <row r="209" spans="1:18" ht="15" customHeight="1" thickBot="1" x14ac:dyDescent="0.35">
      <c r="A209" s="21"/>
      <c r="B209" s="20" t="s">
        <v>135</v>
      </c>
      <c r="C209" s="54" t="s">
        <v>3</v>
      </c>
      <c r="D209" s="102"/>
      <c r="E209" s="102"/>
      <c r="F209" s="102"/>
      <c r="G209" s="102"/>
      <c r="H209" s="102"/>
      <c r="I209" s="102"/>
      <c r="J209" s="102"/>
      <c r="K209" s="102"/>
      <c r="L209" s="30"/>
      <c r="M209" s="30"/>
      <c r="N209" s="30"/>
      <c r="O209" s="30"/>
      <c r="P209" s="30"/>
      <c r="Q209" s="30"/>
      <c r="R209" s="30"/>
    </row>
    <row r="210" spans="1:18" ht="15" customHeight="1" thickBot="1" x14ac:dyDescent="0.35">
      <c r="A210" s="21"/>
      <c r="B210" s="20" t="s">
        <v>129</v>
      </c>
      <c r="C210" s="54" t="s">
        <v>3</v>
      </c>
      <c r="D210" s="102"/>
      <c r="E210" s="102"/>
      <c r="F210" s="102"/>
      <c r="G210" s="102"/>
      <c r="H210" s="102"/>
      <c r="I210" s="102"/>
      <c r="J210" s="102"/>
      <c r="K210" s="102"/>
      <c r="L210" s="30"/>
      <c r="M210" s="30"/>
      <c r="N210" s="30"/>
      <c r="O210" s="30"/>
      <c r="P210" s="30"/>
      <c r="Q210" s="30"/>
      <c r="R210" s="30"/>
    </row>
    <row r="211" spans="1:18" ht="15" customHeight="1" thickBot="1" x14ac:dyDescent="0.35">
      <c r="A211" s="21"/>
      <c r="B211" s="20" t="s">
        <v>131</v>
      </c>
      <c r="C211" s="54" t="s">
        <v>3</v>
      </c>
      <c r="D211" s="102"/>
      <c r="E211" s="102"/>
      <c r="F211" s="102"/>
      <c r="G211" s="102"/>
      <c r="H211" s="102"/>
      <c r="I211" s="102"/>
      <c r="J211" s="102"/>
      <c r="K211" s="102"/>
      <c r="L211" s="30"/>
      <c r="M211" s="30"/>
      <c r="N211" s="30"/>
      <c r="O211" s="30"/>
      <c r="P211" s="30"/>
      <c r="Q211" s="30"/>
      <c r="R211" s="30"/>
    </row>
    <row r="212" spans="1:18" ht="15" customHeight="1" thickBot="1" x14ac:dyDescent="0.35">
      <c r="A212" s="21"/>
      <c r="B212" s="20" t="s">
        <v>133</v>
      </c>
      <c r="C212" s="54" t="s">
        <v>3</v>
      </c>
      <c r="D212" s="102"/>
      <c r="E212" s="102"/>
      <c r="F212" s="102"/>
      <c r="G212" s="102"/>
      <c r="H212" s="102"/>
      <c r="I212" s="102"/>
      <c r="J212" s="102"/>
      <c r="K212" s="102"/>
      <c r="L212" s="30"/>
      <c r="M212" s="30"/>
      <c r="N212" s="30"/>
      <c r="O212" s="30"/>
      <c r="P212" s="30"/>
      <c r="Q212" s="30"/>
      <c r="R212" s="30"/>
    </row>
    <row r="213" spans="1:18" ht="15" customHeight="1" x14ac:dyDescent="0.3">
      <c r="A213" s="30"/>
      <c r="B213" s="36"/>
      <c r="C213" s="43"/>
      <c r="D213" s="102"/>
      <c r="E213" s="102"/>
      <c r="F213" s="102"/>
      <c r="G213" s="102"/>
      <c r="H213" s="102"/>
      <c r="I213" s="102"/>
      <c r="J213" s="102"/>
      <c r="K213" s="102"/>
      <c r="L213" s="30"/>
      <c r="M213" s="30"/>
      <c r="N213" s="30"/>
      <c r="O213" s="30"/>
      <c r="P213" s="30"/>
      <c r="Q213" s="30"/>
      <c r="R213" s="30"/>
    </row>
    <row r="214" spans="1:18" ht="15" customHeight="1" x14ac:dyDescent="0.3">
      <c r="A214" s="30"/>
      <c r="B214" s="36"/>
      <c r="C214" s="43"/>
      <c r="D214" s="102"/>
      <c r="E214" s="102"/>
      <c r="F214" s="102"/>
      <c r="G214" s="102"/>
      <c r="H214" s="102"/>
      <c r="I214" s="102"/>
      <c r="J214" s="102"/>
      <c r="K214" s="102"/>
      <c r="L214" s="30"/>
      <c r="M214" s="30"/>
      <c r="N214" s="30"/>
      <c r="O214" s="30"/>
      <c r="P214" s="30"/>
      <c r="Q214" s="30"/>
      <c r="R214" s="30"/>
    </row>
    <row r="215" spans="1:18" ht="15" customHeight="1" x14ac:dyDescent="0.3">
      <c r="A215" s="30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30"/>
      <c r="M215" s="30"/>
      <c r="N215" s="30"/>
      <c r="O215" s="30"/>
      <c r="P215" s="30"/>
      <c r="Q215" s="30"/>
      <c r="R215" s="30"/>
    </row>
    <row r="216" spans="1:18" ht="15" customHeight="1" x14ac:dyDescent="0.3">
      <c r="A216" s="30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30"/>
      <c r="M216" s="30"/>
      <c r="N216" s="30"/>
      <c r="O216" s="30"/>
      <c r="P216" s="30"/>
      <c r="Q216" s="30"/>
      <c r="R216" s="30"/>
    </row>
  </sheetData>
  <mergeCells count="3">
    <mergeCell ref="A85:A98"/>
    <mergeCell ref="A101:A116"/>
    <mergeCell ref="E120:F12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EF1D2-BAB8-4720-884A-69F68973343D}">
  <dimension ref="A1:H445"/>
  <sheetViews>
    <sheetView tabSelected="1" topLeftCell="A27" workbookViewId="0">
      <selection activeCell="A33" sqref="A33"/>
    </sheetView>
  </sheetViews>
  <sheetFormatPr defaultColWidth="98.21875" defaultRowHeight="14.4" x14ac:dyDescent="0.3"/>
  <cols>
    <col min="1" max="1" width="13.88671875" bestFit="1" customWidth="1"/>
    <col min="2" max="2" width="21.109375" bestFit="1" customWidth="1"/>
    <col min="3" max="3" width="19.44140625" bestFit="1" customWidth="1"/>
    <col min="4" max="4" width="41.109375" bestFit="1" customWidth="1"/>
    <col min="5" max="5" width="13.88671875" bestFit="1" customWidth="1"/>
    <col min="6" max="6" width="21.109375" bestFit="1" customWidth="1"/>
    <col min="7" max="7" width="38.33203125" customWidth="1"/>
    <col min="8" max="8" width="17.6640625" customWidth="1"/>
    <col min="9" max="17" width="5" customWidth="1"/>
  </cols>
  <sheetData>
    <row r="1" spans="1:8" ht="15" thickBot="1" x14ac:dyDescent="0.35">
      <c r="A1" s="57" t="s">
        <v>150</v>
      </c>
      <c r="B1" s="58">
        <v>959</v>
      </c>
      <c r="C1" s="59"/>
      <c r="D1" s="60">
        <v>68</v>
      </c>
      <c r="E1" s="57" t="s">
        <v>150</v>
      </c>
      <c r="F1" s="58">
        <v>959</v>
      </c>
    </row>
    <row r="2" spans="1:8" x14ac:dyDescent="0.3">
      <c r="A2" s="82" t="s">
        <v>151</v>
      </c>
      <c r="B2" s="82" t="s">
        <v>152</v>
      </c>
      <c r="C2" s="82"/>
      <c r="D2" s="82" t="s">
        <v>153</v>
      </c>
      <c r="E2" s="82" t="s">
        <v>151</v>
      </c>
      <c r="F2" s="82" t="s">
        <v>152</v>
      </c>
      <c r="H2" s="103" t="s">
        <v>200</v>
      </c>
    </row>
    <row r="3" spans="1:8" x14ac:dyDescent="0.3">
      <c r="A3" s="83"/>
      <c r="B3" s="84"/>
      <c r="C3" s="85" t="s">
        <v>154</v>
      </c>
      <c r="D3" s="83"/>
      <c r="E3" s="83"/>
      <c r="F3" s="84"/>
      <c r="G3" s="86" t="str">
        <f t="shared" ref="G3:G34" si="0">C3</f>
        <v>#N/A</v>
      </c>
      <c r="H3">
        <v>64652564368</v>
      </c>
    </row>
    <row r="4" spans="1:8" x14ac:dyDescent="0.3">
      <c r="A4" s="83">
        <v>85991012568</v>
      </c>
      <c r="B4" s="83" t="str">
        <f>CONCATENATE($A$1,A4)</f>
        <v>WA.ME/5585991012568</v>
      </c>
      <c r="C4" s="85" t="s">
        <v>157</v>
      </c>
      <c r="D4" s="89" t="s">
        <v>107</v>
      </c>
      <c r="E4" s="83">
        <v>85991012568</v>
      </c>
      <c r="F4" s="83" t="str">
        <f>CONCATENATE($E$1,E4)</f>
        <v>WA.ME/5585991012568</v>
      </c>
      <c r="G4" s="86" t="str">
        <f t="shared" si="0"/>
        <v>ALAN SOUTO</v>
      </c>
    </row>
    <row r="5" spans="1:8" x14ac:dyDescent="0.3">
      <c r="A5" s="87"/>
      <c r="B5" s="83" t="str">
        <f t="shared" ref="B5:B68" si="1">CONCATENATE($A$1,A5)</f>
        <v>WA.ME/55</v>
      </c>
      <c r="C5" s="90" t="s">
        <v>157</v>
      </c>
      <c r="D5" s="89" t="s">
        <v>17</v>
      </c>
      <c r="E5" s="87"/>
      <c r="F5" s="83" t="str">
        <f t="shared" ref="F5:F68" si="2">CONCATENATE($E$1,E5)</f>
        <v>WA.ME/55</v>
      </c>
      <c r="G5" s="86" t="str">
        <f t="shared" si="0"/>
        <v>ALAN SOUTO</v>
      </c>
    </row>
    <row r="6" spans="1:8" x14ac:dyDescent="0.3">
      <c r="A6" s="87"/>
      <c r="B6" s="83" t="str">
        <f t="shared" si="1"/>
        <v>WA.ME/55</v>
      </c>
      <c r="C6" s="90" t="s">
        <v>157</v>
      </c>
      <c r="D6" s="89" t="s">
        <v>37</v>
      </c>
      <c r="E6" s="87"/>
      <c r="F6" s="83" t="str">
        <f t="shared" si="2"/>
        <v>WA.ME/55</v>
      </c>
      <c r="G6" s="86" t="str">
        <f t="shared" si="0"/>
        <v>ALAN SOUTO</v>
      </c>
    </row>
    <row r="7" spans="1:8" x14ac:dyDescent="0.3">
      <c r="A7" s="87"/>
      <c r="B7" s="83" t="str">
        <f t="shared" si="1"/>
        <v>WA.ME/55</v>
      </c>
      <c r="C7" s="90" t="s">
        <v>157</v>
      </c>
      <c r="D7" s="89" t="s">
        <v>50</v>
      </c>
      <c r="E7" s="87"/>
      <c r="F7" s="83" t="str">
        <f t="shared" si="2"/>
        <v>WA.ME/55</v>
      </c>
      <c r="G7" s="86" t="str">
        <f t="shared" si="0"/>
        <v>ALAN SOUTO</v>
      </c>
    </row>
    <row r="8" spans="1:8" x14ac:dyDescent="0.3">
      <c r="A8" s="83"/>
      <c r="B8" s="83" t="str">
        <f t="shared" si="1"/>
        <v>WA.ME/55</v>
      </c>
      <c r="C8" s="85" t="s">
        <v>157</v>
      </c>
      <c r="D8" s="89" t="s">
        <v>108</v>
      </c>
      <c r="E8" s="83"/>
      <c r="F8" s="83" t="str">
        <f t="shared" si="2"/>
        <v>WA.ME/55</v>
      </c>
      <c r="G8" s="86" t="str">
        <f t="shared" si="0"/>
        <v>ALAN SOUTO</v>
      </c>
    </row>
    <row r="9" spans="1:8" x14ac:dyDescent="0.3">
      <c r="A9" s="87"/>
      <c r="B9" s="83" t="str">
        <f t="shared" si="1"/>
        <v>WA.ME/55</v>
      </c>
      <c r="C9" s="90" t="s">
        <v>157</v>
      </c>
      <c r="D9" s="89" t="s">
        <v>55</v>
      </c>
      <c r="E9" s="87"/>
      <c r="F9" s="83" t="str">
        <f t="shared" si="2"/>
        <v>WA.ME/55</v>
      </c>
      <c r="G9" s="86" t="str">
        <f t="shared" si="0"/>
        <v>ALAN SOUTO</v>
      </c>
    </row>
    <row r="10" spans="1:8" x14ac:dyDescent="0.3">
      <c r="A10" s="87"/>
      <c r="B10" s="83" t="str">
        <f t="shared" si="1"/>
        <v>WA.ME/55</v>
      </c>
      <c r="C10" s="90" t="s">
        <v>157</v>
      </c>
      <c r="D10" s="89" t="s">
        <v>60</v>
      </c>
      <c r="E10" s="87"/>
      <c r="F10" s="83" t="str">
        <f t="shared" si="2"/>
        <v>WA.ME/55</v>
      </c>
      <c r="G10" s="86" t="str">
        <f t="shared" si="0"/>
        <v>ALAN SOUTO</v>
      </c>
    </row>
    <row r="11" spans="1:8" x14ac:dyDescent="0.3">
      <c r="A11" s="83"/>
      <c r="B11" s="83" t="str">
        <f t="shared" si="1"/>
        <v>WA.ME/55</v>
      </c>
      <c r="C11" s="85" t="s">
        <v>157</v>
      </c>
      <c r="D11" s="89" t="s">
        <v>109</v>
      </c>
      <c r="E11" s="83"/>
      <c r="F11" s="83" t="str">
        <f t="shared" si="2"/>
        <v>WA.ME/55</v>
      </c>
      <c r="G11" s="86" t="str">
        <f t="shared" si="0"/>
        <v>ALAN SOUTO</v>
      </c>
    </row>
    <row r="12" spans="1:8" x14ac:dyDescent="0.3">
      <c r="A12" s="83"/>
      <c r="B12" s="83" t="str">
        <f t="shared" si="1"/>
        <v>WA.ME/55</v>
      </c>
      <c r="C12" s="85" t="s">
        <v>157</v>
      </c>
      <c r="D12" s="89" t="s">
        <v>111</v>
      </c>
      <c r="E12" s="83"/>
      <c r="F12" s="83" t="str">
        <f t="shared" si="2"/>
        <v>WA.ME/55</v>
      </c>
      <c r="G12" s="86" t="str">
        <f t="shared" si="0"/>
        <v>ALAN SOUTO</v>
      </c>
    </row>
    <row r="13" spans="1:8" x14ac:dyDescent="0.3">
      <c r="A13" s="83"/>
      <c r="B13" s="83" t="str">
        <f t="shared" si="1"/>
        <v>WA.ME/55</v>
      </c>
      <c r="C13" s="85" t="s">
        <v>157</v>
      </c>
      <c r="D13" s="89" t="s">
        <v>110</v>
      </c>
      <c r="E13" s="83"/>
      <c r="F13" s="83" t="str">
        <f t="shared" si="2"/>
        <v>WA.ME/55</v>
      </c>
      <c r="G13" s="86" t="str">
        <f t="shared" si="0"/>
        <v>ALAN SOUTO</v>
      </c>
    </row>
    <row r="14" spans="1:8" x14ac:dyDescent="0.3">
      <c r="A14" s="87"/>
      <c r="B14" s="83" t="str">
        <f t="shared" si="1"/>
        <v>WA.ME/55</v>
      </c>
      <c r="C14" s="90" t="s">
        <v>157</v>
      </c>
      <c r="D14" s="89"/>
      <c r="E14" s="87"/>
      <c r="F14" s="83" t="str">
        <f t="shared" si="2"/>
        <v>WA.ME/55</v>
      </c>
      <c r="G14" s="86" t="str">
        <f t="shared" si="0"/>
        <v>ALAN SOUTO</v>
      </c>
    </row>
    <row r="15" spans="1:8" x14ac:dyDescent="0.3">
      <c r="A15" s="87"/>
      <c r="B15" s="83" t="str">
        <f t="shared" si="1"/>
        <v>WA.ME/55</v>
      </c>
      <c r="C15" s="90" t="s">
        <v>157</v>
      </c>
      <c r="D15" s="89"/>
      <c r="E15" s="87"/>
      <c r="F15" s="83" t="str">
        <f t="shared" si="2"/>
        <v>WA.ME/55</v>
      </c>
      <c r="G15" s="86" t="str">
        <f t="shared" si="0"/>
        <v>ALAN SOUTO</v>
      </c>
    </row>
    <row r="16" spans="1:8" x14ac:dyDescent="0.3">
      <c r="A16" s="87"/>
      <c r="B16" s="83" t="str">
        <f t="shared" si="1"/>
        <v>WA.ME/55</v>
      </c>
      <c r="C16" s="90" t="s">
        <v>157</v>
      </c>
      <c r="D16" s="89"/>
      <c r="E16" s="83"/>
      <c r="F16" s="83" t="str">
        <f t="shared" si="2"/>
        <v>WA.ME/55</v>
      </c>
      <c r="G16" s="86" t="str">
        <f t="shared" si="0"/>
        <v>ALAN SOUTO</v>
      </c>
    </row>
    <row r="17" spans="1:7" x14ac:dyDescent="0.3">
      <c r="A17" s="87"/>
      <c r="B17" s="83" t="str">
        <f t="shared" si="1"/>
        <v>WA.ME/55</v>
      </c>
      <c r="C17" s="90" t="s">
        <v>157</v>
      </c>
      <c r="D17" s="89"/>
      <c r="E17" s="87"/>
      <c r="F17" s="83" t="str">
        <f t="shared" si="2"/>
        <v>WA.ME/55</v>
      </c>
      <c r="G17" s="86" t="str">
        <f t="shared" si="0"/>
        <v>ALAN SOUTO</v>
      </c>
    </row>
    <row r="18" spans="1:7" x14ac:dyDescent="0.3">
      <c r="A18" s="83"/>
      <c r="B18" s="83" t="str">
        <f t="shared" si="1"/>
        <v>WA.ME/55</v>
      </c>
      <c r="C18" s="90" t="s">
        <v>157</v>
      </c>
      <c r="D18" s="89"/>
      <c r="E18" s="87"/>
      <c r="F18" s="83" t="str">
        <f t="shared" si="2"/>
        <v>WA.ME/55</v>
      </c>
      <c r="G18" s="86" t="str">
        <f t="shared" si="0"/>
        <v>ALAN SOUTO</v>
      </c>
    </row>
    <row r="19" spans="1:7" x14ac:dyDescent="0.3">
      <c r="A19" s="83"/>
      <c r="B19" s="83" t="str">
        <f t="shared" si="1"/>
        <v>WA.ME/55</v>
      </c>
      <c r="C19" s="91" t="s">
        <v>160</v>
      </c>
      <c r="D19" s="89" t="s">
        <v>161</v>
      </c>
      <c r="E19" s="87"/>
      <c r="F19" s="83" t="str">
        <f t="shared" si="2"/>
        <v>WA.ME/55</v>
      </c>
      <c r="G19" s="86" t="str">
        <f t="shared" si="0"/>
        <v>JEBNET</v>
      </c>
    </row>
    <row r="20" spans="1:7" x14ac:dyDescent="0.3">
      <c r="A20" s="87"/>
      <c r="B20" s="83" t="str">
        <f t="shared" si="1"/>
        <v>WA.ME/55</v>
      </c>
      <c r="C20" s="91" t="s">
        <v>160</v>
      </c>
      <c r="D20" s="89" t="s">
        <v>14</v>
      </c>
      <c r="E20" s="87"/>
      <c r="F20" s="83" t="str">
        <f t="shared" si="2"/>
        <v>WA.ME/55</v>
      </c>
      <c r="G20" s="86" t="str">
        <f t="shared" si="0"/>
        <v>JEBNET</v>
      </c>
    </row>
    <row r="21" spans="1:7" x14ac:dyDescent="0.3">
      <c r="A21" s="87"/>
      <c r="B21" s="83" t="str">
        <f t="shared" si="1"/>
        <v>WA.ME/55</v>
      </c>
      <c r="C21" s="91" t="s">
        <v>160</v>
      </c>
      <c r="D21" s="89" t="s">
        <v>18</v>
      </c>
      <c r="E21" s="87"/>
      <c r="F21" s="83" t="str">
        <f t="shared" si="2"/>
        <v>WA.ME/55</v>
      </c>
      <c r="G21" s="86" t="str">
        <f t="shared" si="0"/>
        <v>JEBNET</v>
      </c>
    </row>
    <row r="22" spans="1:7" x14ac:dyDescent="0.3">
      <c r="A22" s="87"/>
      <c r="B22" s="83" t="str">
        <f t="shared" si="1"/>
        <v>WA.ME/55</v>
      </c>
      <c r="C22" s="91" t="s">
        <v>160</v>
      </c>
      <c r="D22" s="89" t="s">
        <v>28</v>
      </c>
      <c r="E22" s="83"/>
      <c r="F22" s="83" t="str">
        <f t="shared" si="2"/>
        <v>WA.ME/55</v>
      </c>
      <c r="G22" s="86" t="str">
        <f t="shared" si="0"/>
        <v>JEBNET</v>
      </c>
    </row>
    <row r="23" spans="1:7" x14ac:dyDescent="0.3">
      <c r="A23" s="87"/>
      <c r="B23" s="83" t="str">
        <f t="shared" si="1"/>
        <v>WA.ME/55</v>
      </c>
      <c r="C23" s="91" t="s">
        <v>160</v>
      </c>
      <c r="D23" s="89" t="s">
        <v>162</v>
      </c>
      <c r="E23" s="87"/>
      <c r="F23" s="83" t="str">
        <f t="shared" si="2"/>
        <v>WA.ME/55</v>
      </c>
      <c r="G23" s="86" t="str">
        <f t="shared" si="0"/>
        <v>JEBNET</v>
      </c>
    </row>
    <row r="24" spans="1:7" x14ac:dyDescent="0.3">
      <c r="A24" s="87"/>
      <c r="B24" s="83" t="str">
        <f t="shared" si="1"/>
        <v>WA.ME/55</v>
      </c>
      <c r="C24" s="91" t="s">
        <v>160</v>
      </c>
      <c r="D24" s="89" t="s">
        <v>163</v>
      </c>
      <c r="E24" s="87"/>
      <c r="F24" s="83" t="str">
        <f t="shared" si="2"/>
        <v>WA.ME/55</v>
      </c>
      <c r="G24" s="86" t="str">
        <f t="shared" si="0"/>
        <v>JEBNET</v>
      </c>
    </row>
    <row r="25" spans="1:7" x14ac:dyDescent="0.3">
      <c r="A25" s="87"/>
      <c r="B25" s="83" t="str">
        <f t="shared" si="1"/>
        <v>WA.ME/55</v>
      </c>
      <c r="C25" s="91" t="s">
        <v>160</v>
      </c>
      <c r="D25" s="89" t="s">
        <v>164</v>
      </c>
      <c r="E25" s="87"/>
      <c r="F25" s="83" t="str">
        <f t="shared" si="2"/>
        <v>WA.ME/55</v>
      </c>
      <c r="G25" s="86" t="str">
        <f t="shared" si="0"/>
        <v>JEBNET</v>
      </c>
    </row>
    <row r="26" spans="1:7" x14ac:dyDescent="0.3">
      <c r="A26" s="83"/>
      <c r="B26" s="83" t="str">
        <f t="shared" si="1"/>
        <v>WA.ME/55</v>
      </c>
      <c r="C26" s="91" t="s">
        <v>160</v>
      </c>
      <c r="D26" s="89" t="s">
        <v>165</v>
      </c>
      <c r="E26" s="87"/>
      <c r="F26" s="83" t="str">
        <f t="shared" si="2"/>
        <v>WA.ME/55</v>
      </c>
      <c r="G26" s="86" t="str">
        <f t="shared" si="0"/>
        <v>JEBNET</v>
      </c>
    </row>
    <row r="27" spans="1:7" x14ac:dyDescent="0.3">
      <c r="A27" s="87"/>
      <c r="B27" s="83" t="str">
        <f t="shared" si="1"/>
        <v>WA.ME/55</v>
      </c>
      <c r="C27" s="91" t="s">
        <v>160</v>
      </c>
      <c r="D27" s="89" t="s">
        <v>130</v>
      </c>
      <c r="E27" s="83"/>
      <c r="F27" s="83" t="str">
        <f t="shared" si="2"/>
        <v>WA.ME/55</v>
      </c>
      <c r="G27" s="86" t="str">
        <f t="shared" si="0"/>
        <v>JEBNET</v>
      </c>
    </row>
    <row r="28" spans="1:7" x14ac:dyDescent="0.3">
      <c r="A28" s="87"/>
      <c r="B28" s="83" t="str">
        <f t="shared" si="1"/>
        <v>WA.ME/55</v>
      </c>
      <c r="C28" s="91" t="s">
        <v>160</v>
      </c>
      <c r="D28" s="89" t="s">
        <v>49</v>
      </c>
      <c r="E28" s="87"/>
      <c r="F28" s="83" t="str">
        <f t="shared" si="2"/>
        <v>WA.ME/55</v>
      </c>
      <c r="G28" s="86" t="str">
        <f t="shared" si="0"/>
        <v>JEBNET</v>
      </c>
    </row>
    <row r="29" spans="1:7" x14ac:dyDescent="0.3">
      <c r="A29" s="87"/>
      <c r="B29" s="83" t="str">
        <f t="shared" si="1"/>
        <v>WA.ME/55</v>
      </c>
      <c r="C29" s="91" t="s">
        <v>160</v>
      </c>
      <c r="D29" s="89" t="s">
        <v>134</v>
      </c>
      <c r="E29" s="87"/>
      <c r="F29" s="83" t="str">
        <f t="shared" si="2"/>
        <v>WA.ME/55</v>
      </c>
      <c r="G29" s="86" t="str">
        <f t="shared" si="0"/>
        <v>JEBNET</v>
      </c>
    </row>
    <row r="30" spans="1:7" x14ac:dyDescent="0.3">
      <c r="A30" s="87"/>
      <c r="B30" s="83" t="str">
        <f t="shared" si="1"/>
        <v>WA.ME/55</v>
      </c>
      <c r="C30" s="91" t="s">
        <v>160</v>
      </c>
      <c r="D30" s="89" t="s">
        <v>65</v>
      </c>
      <c r="E30" s="87"/>
      <c r="F30" s="83" t="str">
        <f t="shared" si="2"/>
        <v>WA.ME/55</v>
      </c>
      <c r="G30" s="86" t="str">
        <f t="shared" si="0"/>
        <v>JEBNET</v>
      </c>
    </row>
    <row r="31" spans="1:7" x14ac:dyDescent="0.3">
      <c r="A31" s="87"/>
      <c r="B31" s="83" t="str">
        <f t="shared" si="1"/>
        <v>WA.ME/55</v>
      </c>
      <c r="C31" s="91" t="s">
        <v>160</v>
      </c>
      <c r="D31" s="89" t="s">
        <v>71</v>
      </c>
      <c r="E31" s="87"/>
      <c r="F31" s="83" t="str">
        <f t="shared" si="2"/>
        <v>WA.ME/55</v>
      </c>
      <c r="G31" s="86" t="str">
        <f t="shared" si="0"/>
        <v>JEBNET</v>
      </c>
    </row>
    <row r="32" spans="1:7" x14ac:dyDescent="0.3">
      <c r="A32" s="83"/>
      <c r="B32" s="83" t="str">
        <f t="shared" si="1"/>
        <v>WA.ME/55</v>
      </c>
      <c r="C32" s="91" t="s">
        <v>160</v>
      </c>
      <c r="D32" s="89" t="s">
        <v>72</v>
      </c>
      <c r="E32" s="87"/>
      <c r="F32" s="83" t="str">
        <f t="shared" si="2"/>
        <v>WA.ME/55</v>
      </c>
      <c r="G32" s="86" t="str">
        <f t="shared" si="0"/>
        <v>JEBNET</v>
      </c>
    </row>
    <row r="33" spans="1:8" x14ac:dyDescent="0.3">
      <c r="A33" s="83">
        <v>85991012568</v>
      </c>
      <c r="B33" s="83" t="str">
        <f t="shared" si="1"/>
        <v>WA.ME/5585991012568</v>
      </c>
      <c r="C33" s="88" t="s">
        <v>158</v>
      </c>
      <c r="D33" s="89" t="s">
        <v>183</v>
      </c>
      <c r="E33" s="83">
        <v>85991012568</v>
      </c>
      <c r="F33" s="83" t="str">
        <f t="shared" si="2"/>
        <v>WA.ME/5585991012568</v>
      </c>
      <c r="G33" s="86" t="str">
        <f t="shared" si="0"/>
        <v>JOSE LEONARDO</v>
      </c>
    </row>
    <row r="34" spans="1:8" x14ac:dyDescent="0.3">
      <c r="A34" s="87"/>
      <c r="B34" s="83" t="str">
        <f t="shared" si="1"/>
        <v>WA.ME/55</v>
      </c>
      <c r="C34" s="88" t="s">
        <v>158</v>
      </c>
      <c r="D34" s="89" t="s">
        <v>24</v>
      </c>
      <c r="E34" s="87"/>
      <c r="F34" s="83" t="str">
        <f t="shared" si="2"/>
        <v>WA.ME/55</v>
      </c>
      <c r="G34" s="86" t="str">
        <f t="shared" si="0"/>
        <v>JOSE LEONARDO</v>
      </c>
    </row>
    <row r="35" spans="1:8" x14ac:dyDescent="0.3">
      <c r="A35" s="87"/>
      <c r="B35" s="83" t="str">
        <f t="shared" si="1"/>
        <v>WA.ME/55</v>
      </c>
      <c r="C35" s="88" t="s">
        <v>158</v>
      </c>
      <c r="D35" s="89" t="s">
        <v>31</v>
      </c>
      <c r="E35" s="87"/>
      <c r="F35" s="83" t="str">
        <f t="shared" si="2"/>
        <v>WA.ME/55</v>
      </c>
      <c r="G35" s="86" t="str">
        <f t="shared" ref="G35:G66" si="3">C35</f>
        <v>JOSE LEONARDO</v>
      </c>
    </row>
    <row r="36" spans="1:8" x14ac:dyDescent="0.3">
      <c r="A36" s="87"/>
      <c r="B36" s="83" t="str">
        <f t="shared" si="1"/>
        <v>WA.ME/55</v>
      </c>
      <c r="C36" s="88" t="s">
        <v>158</v>
      </c>
      <c r="D36" s="89" t="s">
        <v>35</v>
      </c>
      <c r="E36" s="87"/>
      <c r="F36" s="83" t="str">
        <f t="shared" si="2"/>
        <v>WA.ME/55</v>
      </c>
      <c r="G36" s="86" t="str">
        <f t="shared" si="3"/>
        <v>JOSE LEONARDO</v>
      </c>
    </row>
    <row r="37" spans="1:8" x14ac:dyDescent="0.3">
      <c r="A37" s="87"/>
      <c r="B37" s="83" t="str">
        <f t="shared" si="1"/>
        <v>WA.ME/55</v>
      </c>
      <c r="C37" s="88" t="s">
        <v>158</v>
      </c>
      <c r="D37" s="89" t="s">
        <v>159</v>
      </c>
      <c r="E37" s="87"/>
      <c r="F37" s="83" t="str">
        <f t="shared" si="2"/>
        <v>WA.ME/55</v>
      </c>
      <c r="G37" s="86" t="str">
        <f t="shared" si="3"/>
        <v>JOSE LEONARDO</v>
      </c>
    </row>
    <row r="38" spans="1:8" x14ac:dyDescent="0.3">
      <c r="A38" s="87"/>
      <c r="B38" s="83" t="str">
        <f t="shared" si="1"/>
        <v>WA.ME/55</v>
      </c>
      <c r="C38" s="88" t="s">
        <v>158</v>
      </c>
      <c r="D38" s="89" t="s">
        <v>129</v>
      </c>
      <c r="E38" s="87"/>
      <c r="F38" s="83" t="str">
        <f t="shared" si="2"/>
        <v>WA.ME/55</v>
      </c>
      <c r="G38" s="86" t="str">
        <f t="shared" si="3"/>
        <v>JOSE LEONARDO</v>
      </c>
    </row>
    <row r="39" spans="1:8" x14ac:dyDescent="0.3">
      <c r="A39" s="87"/>
      <c r="B39" s="83" t="str">
        <f t="shared" si="1"/>
        <v>WA.ME/55</v>
      </c>
      <c r="C39" s="88" t="s">
        <v>158</v>
      </c>
      <c r="D39" s="89" t="s">
        <v>90</v>
      </c>
      <c r="E39" s="87"/>
      <c r="F39" s="83" t="str">
        <f t="shared" si="2"/>
        <v>WA.ME/55</v>
      </c>
      <c r="G39" s="86" t="str">
        <f t="shared" si="3"/>
        <v>JOSE LEONARDO</v>
      </c>
    </row>
    <row r="40" spans="1:8" x14ac:dyDescent="0.3">
      <c r="A40" s="87"/>
      <c r="B40" s="83" t="str">
        <f t="shared" si="1"/>
        <v>WA.ME/55</v>
      </c>
      <c r="C40" s="88" t="s">
        <v>158</v>
      </c>
      <c r="D40" s="89" t="s">
        <v>38</v>
      </c>
      <c r="E40" s="87"/>
      <c r="F40" s="83" t="str">
        <f t="shared" si="2"/>
        <v>WA.ME/55</v>
      </c>
      <c r="G40" s="86" t="str">
        <f t="shared" si="3"/>
        <v>JOSE LEONARDO</v>
      </c>
    </row>
    <row r="41" spans="1:8" x14ac:dyDescent="0.3">
      <c r="A41" s="87"/>
      <c r="B41" s="83" t="str">
        <f t="shared" si="1"/>
        <v>WA.ME/55</v>
      </c>
      <c r="C41" s="88" t="s">
        <v>158</v>
      </c>
      <c r="D41" s="89" t="s">
        <v>188</v>
      </c>
      <c r="E41" s="87">
        <v>85981012568</v>
      </c>
      <c r="F41" s="83" t="str">
        <f t="shared" si="2"/>
        <v>WA.ME/5585981012568</v>
      </c>
      <c r="G41" s="86" t="str">
        <f t="shared" si="3"/>
        <v>JOSE LEONARDO</v>
      </c>
      <c r="H41">
        <v>64652564368</v>
      </c>
    </row>
    <row r="42" spans="1:8" x14ac:dyDescent="0.3">
      <c r="A42" s="87"/>
      <c r="B42" s="83" t="str">
        <f t="shared" si="1"/>
        <v>WA.ME/55</v>
      </c>
      <c r="C42" s="88" t="s">
        <v>158</v>
      </c>
      <c r="D42" s="89" t="s">
        <v>40</v>
      </c>
      <c r="E42" s="87"/>
      <c r="F42" s="83" t="str">
        <f t="shared" si="2"/>
        <v>WA.ME/55</v>
      </c>
      <c r="G42" s="86" t="str">
        <f t="shared" si="3"/>
        <v>JOSE LEONARDO</v>
      </c>
    </row>
    <row r="43" spans="1:8" x14ac:dyDescent="0.3">
      <c r="A43" s="87"/>
      <c r="B43" s="83" t="str">
        <f t="shared" si="1"/>
        <v>WA.ME/55</v>
      </c>
      <c r="C43" s="88" t="s">
        <v>158</v>
      </c>
      <c r="D43" s="89" t="s">
        <v>41</v>
      </c>
      <c r="E43" s="87"/>
      <c r="F43" s="83" t="str">
        <f t="shared" si="2"/>
        <v>WA.ME/55</v>
      </c>
      <c r="G43" s="86" t="str">
        <f t="shared" si="3"/>
        <v>JOSE LEONARDO</v>
      </c>
    </row>
    <row r="44" spans="1:8" x14ac:dyDescent="0.3">
      <c r="A44" s="87"/>
      <c r="B44" s="83" t="str">
        <f t="shared" si="1"/>
        <v>WA.ME/55</v>
      </c>
      <c r="C44" s="88" t="s">
        <v>158</v>
      </c>
      <c r="D44" s="89" t="s">
        <v>42</v>
      </c>
      <c r="E44" s="87"/>
      <c r="F44" s="83" t="str">
        <f t="shared" si="2"/>
        <v>WA.ME/55</v>
      </c>
      <c r="G44" s="86" t="str">
        <f t="shared" si="3"/>
        <v>JOSE LEONARDO</v>
      </c>
    </row>
    <row r="45" spans="1:8" x14ac:dyDescent="0.3">
      <c r="A45" s="87"/>
      <c r="B45" s="83" t="str">
        <f t="shared" si="1"/>
        <v>WA.ME/55</v>
      </c>
      <c r="C45" s="88" t="s">
        <v>158</v>
      </c>
      <c r="D45" s="89" t="s">
        <v>43</v>
      </c>
      <c r="E45" s="87"/>
      <c r="F45" s="83" t="str">
        <f t="shared" si="2"/>
        <v>WA.ME/55</v>
      </c>
      <c r="G45" s="86" t="str">
        <f t="shared" si="3"/>
        <v>JOSE LEONARDO</v>
      </c>
    </row>
    <row r="46" spans="1:8" x14ac:dyDescent="0.3">
      <c r="A46" s="87"/>
      <c r="B46" s="83" t="str">
        <f t="shared" si="1"/>
        <v>WA.ME/55</v>
      </c>
      <c r="C46" s="88" t="s">
        <v>158</v>
      </c>
      <c r="D46" s="89" t="s">
        <v>189</v>
      </c>
      <c r="E46" s="87"/>
      <c r="F46" s="83" t="str">
        <f t="shared" si="2"/>
        <v>WA.ME/55</v>
      </c>
      <c r="G46" s="86" t="str">
        <f t="shared" si="3"/>
        <v>JOSE LEONARDO</v>
      </c>
    </row>
    <row r="47" spans="1:8" x14ac:dyDescent="0.3">
      <c r="A47" s="87"/>
      <c r="B47" s="83" t="str">
        <f t="shared" si="1"/>
        <v>WA.ME/55</v>
      </c>
      <c r="C47" s="88" t="s">
        <v>158</v>
      </c>
      <c r="D47" s="89" t="s">
        <v>46</v>
      </c>
      <c r="E47" s="87"/>
      <c r="F47" s="83" t="str">
        <f t="shared" si="2"/>
        <v>WA.ME/55</v>
      </c>
      <c r="G47" s="86" t="str">
        <f t="shared" si="3"/>
        <v>JOSE LEONARDO</v>
      </c>
    </row>
    <row r="48" spans="1:8" x14ac:dyDescent="0.3">
      <c r="A48" s="87"/>
      <c r="B48" s="83" t="str">
        <f t="shared" si="1"/>
        <v>WA.ME/55</v>
      </c>
      <c r="C48" s="88" t="s">
        <v>158</v>
      </c>
      <c r="D48" s="89" t="s">
        <v>190</v>
      </c>
      <c r="E48" s="87"/>
      <c r="F48" s="83" t="str">
        <f t="shared" si="2"/>
        <v>WA.ME/55</v>
      </c>
      <c r="G48" s="86" t="str">
        <f t="shared" si="3"/>
        <v>JOSE LEONARDO</v>
      </c>
    </row>
    <row r="49" spans="1:7" x14ac:dyDescent="0.3">
      <c r="A49" s="87"/>
      <c r="B49" s="83" t="str">
        <f t="shared" si="1"/>
        <v>WA.ME/55</v>
      </c>
      <c r="C49" s="88" t="s">
        <v>158</v>
      </c>
      <c r="D49" s="89" t="s">
        <v>51</v>
      </c>
      <c r="E49" s="87"/>
      <c r="F49" s="83" t="str">
        <f t="shared" si="2"/>
        <v>WA.ME/55</v>
      </c>
      <c r="G49" s="86" t="str">
        <f t="shared" si="3"/>
        <v>JOSE LEONARDO</v>
      </c>
    </row>
    <row r="50" spans="1:7" x14ac:dyDescent="0.3">
      <c r="A50" s="87"/>
      <c r="B50" s="83" t="str">
        <f t="shared" si="1"/>
        <v>WA.ME/55</v>
      </c>
      <c r="C50" s="88" t="s">
        <v>158</v>
      </c>
      <c r="D50" s="89" t="s">
        <v>57</v>
      </c>
      <c r="E50" s="87"/>
      <c r="F50" s="83" t="str">
        <f t="shared" si="2"/>
        <v>WA.ME/55</v>
      </c>
      <c r="G50" s="86" t="str">
        <f t="shared" si="3"/>
        <v>JOSE LEONARDO</v>
      </c>
    </row>
    <row r="51" spans="1:7" x14ac:dyDescent="0.3">
      <c r="A51" s="87"/>
      <c r="B51" s="83" t="str">
        <f t="shared" si="1"/>
        <v>WA.ME/55</v>
      </c>
      <c r="C51" s="88" t="s">
        <v>158</v>
      </c>
      <c r="D51" s="89" t="s">
        <v>93</v>
      </c>
      <c r="E51" s="87"/>
      <c r="F51" s="83" t="str">
        <f t="shared" si="2"/>
        <v>WA.ME/55</v>
      </c>
      <c r="G51" s="86" t="str">
        <f t="shared" si="3"/>
        <v>JOSE LEONARDO</v>
      </c>
    </row>
    <row r="52" spans="1:7" x14ac:dyDescent="0.3">
      <c r="A52" s="87"/>
      <c r="B52" s="83" t="str">
        <f t="shared" si="1"/>
        <v>WA.ME/55</v>
      </c>
      <c r="C52" s="88" t="s">
        <v>158</v>
      </c>
      <c r="D52" s="89" t="s">
        <v>63</v>
      </c>
      <c r="E52" s="87"/>
      <c r="F52" s="83" t="str">
        <f t="shared" si="2"/>
        <v>WA.ME/55</v>
      </c>
      <c r="G52" s="86" t="str">
        <f t="shared" si="3"/>
        <v>JOSE LEONARDO</v>
      </c>
    </row>
    <row r="53" spans="1:7" x14ac:dyDescent="0.3">
      <c r="A53" s="87"/>
      <c r="B53" s="83" t="str">
        <f t="shared" si="1"/>
        <v>WA.ME/55</v>
      </c>
      <c r="C53" s="88" t="s">
        <v>158</v>
      </c>
      <c r="D53" s="89" t="s">
        <v>64</v>
      </c>
      <c r="E53" s="87"/>
      <c r="F53" s="83" t="str">
        <f t="shared" si="2"/>
        <v>WA.ME/55</v>
      </c>
      <c r="G53" s="86" t="str">
        <f t="shared" si="3"/>
        <v>JOSE LEONARDO</v>
      </c>
    </row>
    <row r="54" spans="1:7" x14ac:dyDescent="0.3">
      <c r="A54" s="87"/>
      <c r="B54" s="83" t="str">
        <f t="shared" si="1"/>
        <v>WA.ME/55</v>
      </c>
      <c r="C54" s="88" t="s">
        <v>158</v>
      </c>
      <c r="D54" s="89" t="s">
        <v>98</v>
      </c>
      <c r="E54" s="87"/>
      <c r="F54" s="83" t="str">
        <f t="shared" si="2"/>
        <v>WA.ME/55</v>
      </c>
      <c r="G54" s="86" t="str">
        <f t="shared" si="3"/>
        <v>JOSE LEONARDO</v>
      </c>
    </row>
    <row r="55" spans="1:7" x14ac:dyDescent="0.3">
      <c r="A55" s="87"/>
      <c r="B55" s="83" t="str">
        <f t="shared" si="1"/>
        <v>WA.ME/55</v>
      </c>
      <c r="C55" s="88" t="s">
        <v>158</v>
      </c>
      <c r="D55" s="89" t="s">
        <v>70</v>
      </c>
      <c r="E55" s="87"/>
      <c r="F55" s="83" t="str">
        <f t="shared" si="2"/>
        <v>WA.ME/55</v>
      </c>
      <c r="G55" s="86" t="str">
        <f t="shared" si="3"/>
        <v>JOSE LEONARDO</v>
      </c>
    </row>
    <row r="56" spans="1:7" x14ac:dyDescent="0.3">
      <c r="A56" s="87"/>
      <c r="B56" s="83" t="str">
        <f t="shared" si="1"/>
        <v>WA.ME/55</v>
      </c>
      <c r="C56" s="88" t="s">
        <v>158</v>
      </c>
      <c r="D56" s="89" t="s">
        <v>74</v>
      </c>
      <c r="E56" s="87"/>
      <c r="F56" s="83" t="str">
        <f t="shared" si="2"/>
        <v>WA.ME/55</v>
      </c>
      <c r="G56" s="86" t="str">
        <f t="shared" si="3"/>
        <v>JOSE LEONARDO</v>
      </c>
    </row>
    <row r="57" spans="1:7" x14ac:dyDescent="0.3">
      <c r="A57" s="83"/>
      <c r="B57" s="83" t="str">
        <f t="shared" si="1"/>
        <v>WA.ME/55</v>
      </c>
      <c r="C57" s="85" t="s">
        <v>166</v>
      </c>
      <c r="D57" s="89" t="s">
        <v>170</v>
      </c>
      <c r="E57" s="83"/>
      <c r="F57" s="83" t="str">
        <f t="shared" si="2"/>
        <v>WA.ME/55</v>
      </c>
      <c r="G57" s="86" t="str">
        <f t="shared" si="3"/>
        <v>MAILSON FRANCISCO</v>
      </c>
    </row>
    <row r="58" spans="1:7" x14ac:dyDescent="0.3">
      <c r="A58" s="83"/>
      <c r="B58" s="83" t="str">
        <f t="shared" si="1"/>
        <v>WA.ME/55</v>
      </c>
      <c r="C58" s="85" t="s">
        <v>166</v>
      </c>
      <c r="D58" s="89" t="s">
        <v>168</v>
      </c>
      <c r="E58" s="83"/>
      <c r="F58" s="83" t="str">
        <f t="shared" si="2"/>
        <v>WA.ME/55</v>
      </c>
      <c r="G58" s="86" t="str">
        <f t="shared" si="3"/>
        <v>MAILSON FRANCISCO</v>
      </c>
    </row>
    <row r="59" spans="1:7" x14ac:dyDescent="0.3">
      <c r="A59" s="83"/>
      <c r="B59" s="83" t="str">
        <f t="shared" si="1"/>
        <v>WA.ME/55</v>
      </c>
      <c r="C59" s="85" t="s">
        <v>166</v>
      </c>
      <c r="D59" s="89" t="s">
        <v>185</v>
      </c>
      <c r="E59" s="83"/>
      <c r="F59" s="83" t="str">
        <f t="shared" si="2"/>
        <v>WA.ME/55</v>
      </c>
      <c r="G59" s="86" t="str">
        <f t="shared" si="3"/>
        <v>MAILSON FRANCISCO</v>
      </c>
    </row>
    <row r="60" spans="1:7" x14ac:dyDescent="0.3">
      <c r="A60" s="83"/>
      <c r="B60" s="83" t="str">
        <f t="shared" si="1"/>
        <v>WA.ME/55</v>
      </c>
      <c r="C60" s="85" t="s">
        <v>166</v>
      </c>
      <c r="D60" s="89" t="s">
        <v>117</v>
      </c>
      <c r="E60" s="83"/>
      <c r="F60" s="83" t="str">
        <f t="shared" si="2"/>
        <v>WA.ME/55</v>
      </c>
      <c r="G60" s="86" t="str">
        <f t="shared" si="3"/>
        <v>MAILSON FRANCISCO</v>
      </c>
    </row>
    <row r="61" spans="1:7" x14ac:dyDescent="0.3">
      <c r="A61" s="83"/>
      <c r="B61" s="83" t="str">
        <f t="shared" si="1"/>
        <v>WA.ME/55</v>
      </c>
      <c r="C61" s="85" t="s">
        <v>166</v>
      </c>
      <c r="D61" s="89" t="s">
        <v>116</v>
      </c>
      <c r="E61" s="83"/>
      <c r="F61" s="83" t="str">
        <f t="shared" si="2"/>
        <v>WA.ME/55</v>
      </c>
      <c r="G61" s="86" t="str">
        <f t="shared" si="3"/>
        <v>MAILSON FRANCISCO</v>
      </c>
    </row>
    <row r="62" spans="1:7" x14ac:dyDescent="0.3">
      <c r="A62" s="83"/>
      <c r="B62" s="83" t="str">
        <f t="shared" si="1"/>
        <v>WA.ME/55</v>
      </c>
      <c r="C62" s="85" t="s">
        <v>166</v>
      </c>
      <c r="D62" s="89" t="s">
        <v>187</v>
      </c>
      <c r="E62" s="83"/>
      <c r="F62" s="83" t="str">
        <f t="shared" si="2"/>
        <v>WA.ME/55</v>
      </c>
      <c r="G62" s="86" t="str">
        <f t="shared" si="3"/>
        <v>MAILSON FRANCISCO</v>
      </c>
    </row>
    <row r="63" spans="1:7" x14ac:dyDescent="0.3">
      <c r="A63" s="83"/>
      <c r="B63" s="83" t="str">
        <f t="shared" si="1"/>
        <v>WA.ME/55</v>
      </c>
      <c r="C63" s="85" t="s">
        <v>166</v>
      </c>
      <c r="D63" s="89" t="s">
        <v>118</v>
      </c>
      <c r="E63" s="83"/>
      <c r="F63" s="83" t="str">
        <f t="shared" si="2"/>
        <v>WA.ME/55</v>
      </c>
      <c r="G63" s="86" t="str">
        <f t="shared" si="3"/>
        <v>MAILSON FRANCISCO</v>
      </c>
    </row>
    <row r="64" spans="1:7" x14ac:dyDescent="0.3">
      <c r="A64" s="83"/>
      <c r="B64" s="83" t="str">
        <f t="shared" si="1"/>
        <v>WA.ME/55</v>
      </c>
      <c r="C64" s="85" t="s">
        <v>166</v>
      </c>
      <c r="D64" s="89" t="s">
        <v>113</v>
      </c>
      <c r="E64" s="83"/>
      <c r="F64" s="83" t="str">
        <f t="shared" si="2"/>
        <v>WA.ME/55</v>
      </c>
      <c r="G64" s="86" t="str">
        <f t="shared" si="3"/>
        <v>MAILSON FRANCISCO</v>
      </c>
    </row>
    <row r="65" spans="1:7" x14ac:dyDescent="0.3">
      <c r="A65" s="83"/>
      <c r="B65" s="83" t="str">
        <f t="shared" si="1"/>
        <v>WA.ME/55</v>
      </c>
      <c r="C65" s="85" t="s">
        <v>166</v>
      </c>
      <c r="D65" s="89" t="s">
        <v>119</v>
      </c>
      <c r="E65" s="83"/>
      <c r="F65" s="83" t="str">
        <f t="shared" si="2"/>
        <v>WA.ME/55</v>
      </c>
      <c r="G65" s="86" t="str">
        <f t="shared" si="3"/>
        <v>MAILSON FRANCISCO</v>
      </c>
    </row>
    <row r="66" spans="1:7" x14ac:dyDescent="0.3">
      <c r="A66" s="83"/>
      <c r="B66" s="83" t="str">
        <f t="shared" si="1"/>
        <v>WA.ME/55</v>
      </c>
      <c r="C66" s="85" t="s">
        <v>166</v>
      </c>
      <c r="D66" s="89" t="s">
        <v>192</v>
      </c>
      <c r="E66" s="83"/>
      <c r="F66" s="83" t="str">
        <f t="shared" si="2"/>
        <v>WA.ME/55</v>
      </c>
      <c r="G66" s="86" t="str">
        <f t="shared" si="3"/>
        <v>MAILSON FRANCISCO</v>
      </c>
    </row>
    <row r="67" spans="1:7" x14ac:dyDescent="0.3">
      <c r="A67" s="87"/>
      <c r="B67" s="83" t="str">
        <f t="shared" si="1"/>
        <v>WA.ME/55</v>
      </c>
      <c r="C67" s="85" t="s">
        <v>166</v>
      </c>
      <c r="D67" s="89" t="s">
        <v>193</v>
      </c>
      <c r="E67" s="87"/>
      <c r="F67" s="83" t="str">
        <f t="shared" si="2"/>
        <v>WA.ME/55</v>
      </c>
      <c r="G67" s="86" t="str">
        <f t="shared" ref="G67:G98" si="4">C67</f>
        <v>MAILSON FRANCISCO</v>
      </c>
    </row>
    <row r="68" spans="1:7" x14ac:dyDescent="0.3">
      <c r="A68" s="83"/>
      <c r="B68" s="83" t="str">
        <f t="shared" si="1"/>
        <v>WA.ME/55</v>
      </c>
      <c r="C68" s="85" t="s">
        <v>166</v>
      </c>
      <c r="D68" s="89" t="s">
        <v>169</v>
      </c>
      <c r="E68" s="83"/>
      <c r="F68" s="83" t="str">
        <f t="shared" si="2"/>
        <v>WA.ME/55</v>
      </c>
      <c r="G68" s="86" t="str">
        <f t="shared" si="4"/>
        <v>MAILSON FRANCISCO</v>
      </c>
    </row>
    <row r="69" spans="1:7" x14ac:dyDescent="0.3">
      <c r="A69" s="83"/>
      <c r="B69" s="83" t="str">
        <f t="shared" ref="B69:B132" si="5">CONCATENATE($A$1,A69)</f>
        <v>WA.ME/55</v>
      </c>
      <c r="C69" s="85" t="s">
        <v>166</v>
      </c>
      <c r="D69" s="89" t="s">
        <v>167</v>
      </c>
      <c r="E69" s="83"/>
      <c r="F69" s="83" t="str">
        <f t="shared" ref="F69:F132" si="6">CONCATENATE($E$1,E69)</f>
        <v>WA.ME/55</v>
      </c>
      <c r="G69" s="86" t="str">
        <f t="shared" si="4"/>
        <v>MAILSON FRANCISCO</v>
      </c>
    </row>
    <row r="70" spans="1:7" x14ac:dyDescent="0.3">
      <c r="A70" s="83"/>
      <c r="B70" s="83" t="str">
        <f t="shared" si="5"/>
        <v>WA.ME/55</v>
      </c>
      <c r="C70" s="85" t="s">
        <v>166</v>
      </c>
      <c r="D70" s="89" t="s">
        <v>112</v>
      </c>
      <c r="E70" s="83"/>
      <c r="F70" s="83" t="str">
        <f t="shared" si="6"/>
        <v>WA.ME/55</v>
      </c>
      <c r="G70" s="86" t="str">
        <f t="shared" si="4"/>
        <v>MAILSON FRANCISCO</v>
      </c>
    </row>
    <row r="71" spans="1:7" x14ac:dyDescent="0.3">
      <c r="A71" s="83"/>
      <c r="B71" s="83" t="str">
        <f t="shared" si="5"/>
        <v>WA.ME/55</v>
      </c>
      <c r="C71" s="85" t="s">
        <v>166</v>
      </c>
      <c r="D71" s="83"/>
      <c r="E71" s="83"/>
      <c r="F71" s="83" t="str">
        <f t="shared" si="6"/>
        <v>WA.ME/55</v>
      </c>
      <c r="G71" s="86" t="str">
        <f t="shared" si="4"/>
        <v>MAILSON FRANCISCO</v>
      </c>
    </row>
    <row r="72" spans="1:7" x14ac:dyDescent="0.3">
      <c r="A72" s="83"/>
      <c r="B72" s="83" t="str">
        <f t="shared" si="5"/>
        <v>WA.ME/55</v>
      </c>
      <c r="C72" s="85" t="s">
        <v>166</v>
      </c>
      <c r="D72" s="83"/>
      <c r="E72" s="83"/>
      <c r="F72" s="83" t="str">
        <f t="shared" si="6"/>
        <v>WA.ME/55</v>
      </c>
      <c r="G72" s="86" t="str">
        <f t="shared" si="4"/>
        <v>MAILSON FRANCISCO</v>
      </c>
    </row>
    <row r="73" spans="1:7" x14ac:dyDescent="0.3">
      <c r="A73" s="83"/>
      <c r="B73" s="83" t="str">
        <f t="shared" si="5"/>
        <v>WA.ME/55</v>
      </c>
      <c r="C73" s="85" t="s">
        <v>166</v>
      </c>
      <c r="D73" s="83"/>
      <c r="E73" s="83"/>
      <c r="F73" s="83" t="str">
        <f t="shared" si="6"/>
        <v>WA.ME/55</v>
      </c>
      <c r="G73" s="86" t="str">
        <f t="shared" si="4"/>
        <v>MAILSON FRANCISCO</v>
      </c>
    </row>
    <row r="74" spans="1:7" x14ac:dyDescent="0.3">
      <c r="A74" s="83"/>
      <c r="B74" s="83" t="str">
        <f t="shared" si="5"/>
        <v>WA.ME/55</v>
      </c>
      <c r="C74" s="85" t="s">
        <v>166</v>
      </c>
      <c r="D74" s="83"/>
      <c r="E74" s="83"/>
      <c r="F74" s="83" t="str">
        <f t="shared" si="6"/>
        <v>WA.ME/55</v>
      </c>
      <c r="G74" s="86" t="str">
        <f t="shared" si="4"/>
        <v>MAILSON FRANCISCO</v>
      </c>
    </row>
    <row r="75" spans="1:7" x14ac:dyDescent="0.3">
      <c r="A75" s="83"/>
      <c r="B75" s="83" t="str">
        <f t="shared" si="5"/>
        <v>WA.ME/55</v>
      </c>
      <c r="C75" s="85" t="s">
        <v>166</v>
      </c>
      <c r="D75" s="83"/>
      <c r="E75" s="83"/>
      <c r="F75" s="83" t="str">
        <f t="shared" si="6"/>
        <v>WA.ME/55</v>
      </c>
      <c r="G75" s="86" t="str">
        <f t="shared" si="4"/>
        <v>MAILSON FRANCISCO</v>
      </c>
    </row>
    <row r="76" spans="1:7" x14ac:dyDescent="0.3">
      <c r="A76" s="83"/>
      <c r="B76" s="83" t="str">
        <f t="shared" si="5"/>
        <v>WA.ME/55</v>
      </c>
      <c r="C76" s="85" t="s">
        <v>166</v>
      </c>
      <c r="D76" s="83"/>
      <c r="E76" s="83"/>
      <c r="F76" s="83" t="str">
        <f t="shared" si="6"/>
        <v>WA.ME/55</v>
      </c>
      <c r="G76" s="86" t="str">
        <f t="shared" si="4"/>
        <v>MAILSON FRANCISCO</v>
      </c>
    </row>
    <row r="77" spans="1:7" x14ac:dyDescent="0.3">
      <c r="A77" s="87"/>
      <c r="B77" s="83" t="str">
        <f t="shared" si="5"/>
        <v>WA.ME/55</v>
      </c>
      <c r="C77" s="92" t="s">
        <v>156</v>
      </c>
      <c r="D77" s="89" t="s">
        <v>102</v>
      </c>
      <c r="E77" s="87"/>
      <c r="F77" s="83" t="str">
        <f t="shared" si="6"/>
        <v>WA.ME/55</v>
      </c>
      <c r="G77" s="86" t="str">
        <f t="shared" si="4"/>
        <v>MARCOS VICTOR</v>
      </c>
    </row>
    <row r="78" spans="1:7" x14ac:dyDescent="0.3">
      <c r="A78" s="87"/>
      <c r="B78" s="83" t="str">
        <f t="shared" si="5"/>
        <v>WA.ME/55</v>
      </c>
      <c r="C78" s="92" t="s">
        <v>156</v>
      </c>
      <c r="D78" s="89" t="s">
        <v>15</v>
      </c>
      <c r="E78" s="87"/>
      <c r="F78" s="83" t="str">
        <f t="shared" si="6"/>
        <v>WA.ME/55</v>
      </c>
      <c r="G78" s="86" t="str">
        <f t="shared" si="4"/>
        <v>MARCOS VICTOR</v>
      </c>
    </row>
    <row r="79" spans="1:7" x14ac:dyDescent="0.3">
      <c r="A79" s="87"/>
      <c r="B79" s="83" t="str">
        <f t="shared" si="5"/>
        <v>WA.ME/55</v>
      </c>
      <c r="C79" s="92" t="s">
        <v>156</v>
      </c>
      <c r="D79" s="89" t="s">
        <v>105</v>
      </c>
      <c r="E79" s="87"/>
      <c r="F79" s="83" t="str">
        <f t="shared" si="6"/>
        <v>WA.ME/55</v>
      </c>
      <c r="G79" s="86" t="str">
        <f t="shared" si="4"/>
        <v>MARCOS VICTOR</v>
      </c>
    </row>
    <row r="80" spans="1:7" x14ac:dyDescent="0.3">
      <c r="A80" s="87"/>
      <c r="B80" s="83" t="str">
        <f t="shared" si="5"/>
        <v>WA.ME/55</v>
      </c>
      <c r="C80" s="92" t="s">
        <v>156</v>
      </c>
      <c r="D80" s="89" t="s">
        <v>97</v>
      </c>
      <c r="E80" s="87"/>
      <c r="F80" s="83" t="str">
        <f t="shared" si="6"/>
        <v>WA.ME/55</v>
      </c>
      <c r="G80" s="86" t="str">
        <f t="shared" si="4"/>
        <v>MARCOS VICTOR</v>
      </c>
    </row>
    <row r="81" spans="1:7" x14ac:dyDescent="0.3">
      <c r="A81" s="87"/>
      <c r="B81" s="83" t="str">
        <f t="shared" si="5"/>
        <v>WA.ME/55</v>
      </c>
      <c r="C81" s="92" t="s">
        <v>156</v>
      </c>
      <c r="D81" s="89" t="s">
        <v>16</v>
      </c>
      <c r="E81" s="87"/>
      <c r="F81" s="83" t="str">
        <f t="shared" si="6"/>
        <v>WA.ME/55</v>
      </c>
      <c r="G81" s="86" t="str">
        <f t="shared" si="4"/>
        <v>MARCOS VICTOR</v>
      </c>
    </row>
    <row r="82" spans="1:7" x14ac:dyDescent="0.3">
      <c r="A82" s="87"/>
      <c r="B82" s="83" t="str">
        <f t="shared" si="5"/>
        <v>WA.ME/55</v>
      </c>
      <c r="C82" s="92" t="s">
        <v>156</v>
      </c>
      <c r="D82" s="89" t="s">
        <v>19</v>
      </c>
      <c r="E82" s="87"/>
      <c r="F82" s="83" t="str">
        <f t="shared" si="6"/>
        <v>WA.ME/55</v>
      </c>
      <c r="G82" s="86" t="str">
        <f t="shared" si="4"/>
        <v>MARCOS VICTOR</v>
      </c>
    </row>
    <row r="83" spans="1:7" x14ac:dyDescent="0.3">
      <c r="A83" s="87"/>
      <c r="B83" s="83" t="str">
        <f t="shared" si="5"/>
        <v>WA.ME/55</v>
      </c>
      <c r="C83" s="92" t="s">
        <v>156</v>
      </c>
      <c r="D83" s="89" t="s">
        <v>20</v>
      </c>
      <c r="E83" s="87"/>
      <c r="F83" s="83" t="str">
        <f t="shared" si="6"/>
        <v>WA.ME/55</v>
      </c>
      <c r="G83" s="86" t="str">
        <f t="shared" si="4"/>
        <v>MARCOS VICTOR</v>
      </c>
    </row>
    <row r="84" spans="1:7" x14ac:dyDescent="0.3">
      <c r="A84" s="87"/>
      <c r="B84" s="83" t="str">
        <f t="shared" si="5"/>
        <v>WA.ME/55</v>
      </c>
      <c r="C84" s="92" t="s">
        <v>156</v>
      </c>
      <c r="D84" s="89" t="s">
        <v>87</v>
      </c>
      <c r="E84" s="87"/>
      <c r="F84" s="83" t="str">
        <f t="shared" si="6"/>
        <v>WA.ME/55</v>
      </c>
      <c r="G84" s="86" t="str">
        <f t="shared" si="4"/>
        <v>MARCOS VICTOR</v>
      </c>
    </row>
    <row r="85" spans="1:7" x14ac:dyDescent="0.3">
      <c r="A85" s="87"/>
      <c r="B85" s="83" t="str">
        <f t="shared" si="5"/>
        <v>WA.ME/55</v>
      </c>
      <c r="C85" s="92" t="s">
        <v>156</v>
      </c>
      <c r="D85" s="89" t="s">
        <v>22</v>
      </c>
      <c r="E85" s="87"/>
      <c r="F85" s="83" t="str">
        <f t="shared" si="6"/>
        <v>WA.ME/55</v>
      </c>
      <c r="G85" s="86" t="str">
        <f t="shared" si="4"/>
        <v>MARCOS VICTOR</v>
      </c>
    </row>
    <row r="86" spans="1:7" x14ac:dyDescent="0.3">
      <c r="A86" s="87"/>
      <c r="B86" s="83" t="str">
        <f t="shared" si="5"/>
        <v>WA.ME/55</v>
      </c>
      <c r="C86" s="92" t="s">
        <v>156</v>
      </c>
      <c r="D86" s="89" t="s">
        <v>88</v>
      </c>
      <c r="E86" s="87"/>
      <c r="F86" s="83" t="str">
        <f t="shared" si="6"/>
        <v>WA.ME/55</v>
      </c>
      <c r="G86" s="86" t="str">
        <f t="shared" si="4"/>
        <v>MARCOS VICTOR</v>
      </c>
    </row>
    <row r="87" spans="1:7" x14ac:dyDescent="0.3">
      <c r="A87" s="87"/>
      <c r="B87" s="83" t="str">
        <f t="shared" si="5"/>
        <v>WA.ME/55</v>
      </c>
      <c r="C87" s="92" t="s">
        <v>156</v>
      </c>
      <c r="D87" s="89" t="s">
        <v>126</v>
      </c>
      <c r="E87" s="87"/>
      <c r="F87" s="83" t="str">
        <f t="shared" si="6"/>
        <v>WA.ME/55</v>
      </c>
      <c r="G87" s="86" t="str">
        <f t="shared" si="4"/>
        <v>MARCOS VICTOR</v>
      </c>
    </row>
    <row r="88" spans="1:7" x14ac:dyDescent="0.3">
      <c r="A88" s="87"/>
      <c r="B88" s="83" t="str">
        <f t="shared" si="5"/>
        <v>WA.ME/55</v>
      </c>
      <c r="C88" s="92" t="s">
        <v>156</v>
      </c>
      <c r="D88" s="89" t="s">
        <v>184</v>
      </c>
      <c r="E88" s="87"/>
      <c r="F88" s="83" t="str">
        <f t="shared" si="6"/>
        <v>WA.ME/55</v>
      </c>
      <c r="G88" s="86" t="str">
        <f t="shared" si="4"/>
        <v>MARCOS VICTOR</v>
      </c>
    </row>
    <row r="89" spans="1:7" x14ac:dyDescent="0.3">
      <c r="A89" s="87"/>
      <c r="B89" s="83" t="str">
        <f t="shared" si="5"/>
        <v>WA.ME/55</v>
      </c>
      <c r="C89" s="92" t="s">
        <v>156</v>
      </c>
      <c r="D89" s="89" t="s">
        <v>27</v>
      </c>
      <c r="E89" s="87"/>
      <c r="F89" s="83" t="str">
        <f t="shared" si="6"/>
        <v>WA.ME/55</v>
      </c>
      <c r="G89" s="86" t="str">
        <f t="shared" si="4"/>
        <v>MARCOS VICTOR</v>
      </c>
    </row>
    <row r="90" spans="1:7" x14ac:dyDescent="0.3">
      <c r="A90" s="87"/>
      <c r="B90" s="83" t="str">
        <f t="shared" si="5"/>
        <v>WA.ME/55</v>
      </c>
      <c r="C90" s="92" t="s">
        <v>156</v>
      </c>
      <c r="D90" s="89" t="s">
        <v>127</v>
      </c>
      <c r="E90" s="87"/>
      <c r="F90" s="83" t="str">
        <f t="shared" si="6"/>
        <v>WA.ME/55</v>
      </c>
      <c r="G90" s="86" t="str">
        <f t="shared" si="4"/>
        <v>MARCOS VICTOR</v>
      </c>
    </row>
    <row r="91" spans="1:7" x14ac:dyDescent="0.3">
      <c r="A91" s="87"/>
      <c r="B91" s="83" t="str">
        <f t="shared" si="5"/>
        <v>WA.ME/55</v>
      </c>
      <c r="C91" s="92" t="s">
        <v>156</v>
      </c>
      <c r="D91" s="89" t="s">
        <v>89</v>
      </c>
      <c r="E91" s="87"/>
      <c r="F91" s="83" t="str">
        <f t="shared" si="6"/>
        <v>WA.ME/55</v>
      </c>
      <c r="G91" s="86" t="str">
        <f t="shared" si="4"/>
        <v>MARCOS VICTOR</v>
      </c>
    </row>
    <row r="92" spans="1:7" x14ac:dyDescent="0.3">
      <c r="A92" s="87"/>
      <c r="B92" s="83" t="str">
        <f t="shared" si="5"/>
        <v>WA.ME/55</v>
      </c>
      <c r="C92" s="92" t="s">
        <v>156</v>
      </c>
      <c r="D92" s="89" t="s">
        <v>30</v>
      </c>
      <c r="E92" s="87"/>
      <c r="F92" s="83" t="str">
        <f t="shared" si="6"/>
        <v>WA.ME/55</v>
      </c>
      <c r="G92" s="86" t="str">
        <f t="shared" si="4"/>
        <v>MARCOS VICTOR</v>
      </c>
    </row>
    <row r="93" spans="1:7" x14ac:dyDescent="0.3">
      <c r="A93" s="87"/>
      <c r="B93" s="83" t="str">
        <f t="shared" si="5"/>
        <v>WA.ME/55</v>
      </c>
      <c r="C93" s="92" t="s">
        <v>156</v>
      </c>
      <c r="D93" s="89" t="s">
        <v>32</v>
      </c>
      <c r="E93" s="87"/>
      <c r="F93" s="83" t="str">
        <f t="shared" si="6"/>
        <v>WA.ME/55</v>
      </c>
      <c r="G93" s="86" t="str">
        <f t="shared" si="4"/>
        <v>MARCOS VICTOR</v>
      </c>
    </row>
    <row r="94" spans="1:7" x14ac:dyDescent="0.3">
      <c r="A94" s="87"/>
      <c r="B94" s="83" t="str">
        <f t="shared" si="5"/>
        <v>WA.ME/55</v>
      </c>
      <c r="C94" s="92" t="s">
        <v>156</v>
      </c>
      <c r="D94" s="89" t="s">
        <v>33</v>
      </c>
      <c r="E94" s="87"/>
      <c r="F94" s="83" t="str">
        <f t="shared" si="6"/>
        <v>WA.ME/55</v>
      </c>
      <c r="G94" s="86" t="str">
        <f t="shared" si="4"/>
        <v>MARCOS VICTOR</v>
      </c>
    </row>
    <row r="95" spans="1:7" x14ac:dyDescent="0.3">
      <c r="A95" s="87"/>
      <c r="B95" s="83" t="str">
        <f t="shared" si="5"/>
        <v>WA.ME/55</v>
      </c>
      <c r="C95" s="92" t="s">
        <v>156</v>
      </c>
      <c r="D95" s="89" t="s">
        <v>128</v>
      </c>
      <c r="E95" s="87"/>
      <c r="F95" s="83" t="str">
        <f t="shared" si="6"/>
        <v>WA.ME/55</v>
      </c>
      <c r="G95" s="86" t="str">
        <f t="shared" si="4"/>
        <v>MARCOS VICTOR</v>
      </c>
    </row>
    <row r="96" spans="1:7" x14ac:dyDescent="0.3">
      <c r="A96" s="87"/>
      <c r="B96" s="83" t="str">
        <f t="shared" si="5"/>
        <v>WA.ME/55</v>
      </c>
      <c r="C96" s="92" t="s">
        <v>156</v>
      </c>
      <c r="D96" s="89" t="s">
        <v>44</v>
      </c>
      <c r="E96" s="87"/>
      <c r="F96" s="83" t="str">
        <f t="shared" si="6"/>
        <v>WA.ME/55</v>
      </c>
      <c r="G96" s="86" t="str">
        <f t="shared" si="4"/>
        <v>MARCOS VICTOR</v>
      </c>
    </row>
    <row r="97" spans="1:7" x14ac:dyDescent="0.3">
      <c r="A97" s="87"/>
      <c r="B97" s="83" t="str">
        <f t="shared" si="5"/>
        <v>WA.ME/55</v>
      </c>
      <c r="C97" s="92" t="s">
        <v>156</v>
      </c>
      <c r="D97" s="89" t="s">
        <v>104</v>
      </c>
      <c r="E97" s="87"/>
      <c r="F97" s="83" t="str">
        <f t="shared" si="6"/>
        <v>WA.ME/55</v>
      </c>
      <c r="G97" s="86" t="str">
        <f t="shared" si="4"/>
        <v>MARCOS VICTOR</v>
      </c>
    </row>
    <row r="98" spans="1:7" x14ac:dyDescent="0.3">
      <c r="A98" s="87"/>
      <c r="B98" s="83" t="str">
        <f t="shared" si="5"/>
        <v>WA.ME/55</v>
      </c>
      <c r="C98" s="92" t="s">
        <v>156</v>
      </c>
      <c r="D98" s="89" t="s">
        <v>45</v>
      </c>
      <c r="E98" s="87"/>
      <c r="F98" s="83" t="str">
        <f t="shared" si="6"/>
        <v>WA.ME/55</v>
      </c>
      <c r="G98" s="86" t="str">
        <f t="shared" si="4"/>
        <v>MARCOS VICTOR</v>
      </c>
    </row>
    <row r="99" spans="1:7" x14ac:dyDescent="0.3">
      <c r="A99" s="87"/>
      <c r="B99" s="83" t="str">
        <f t="shared" si="5"/>
        <v>WA.ME/55</v>
      </c>
      <c r="C99" s="92" t="s">
        <v>156</v>
      </c>
      <c r="D99" s="89" t="s">
        <v>191</v>
      </c>
      <c r="E99" s="87"/>
      <c r="F99" s="83" t="str">
        <f t="shared" si="6"/>
        <v>WA.ME/55</v>
      </c>
      <c r="G99" s="86" t="str">
        <f t="shared" ref="G99:G130" si="7">C99</f>
        <v>MARCOS VICTOR</v>
      </c>
    </row>
    <row r="100" spans="1:7" x14ac:dyDescent="0.3">
      <c r="A100" s="87"/>
      <c r="B100" s="83" t="str">
        <f t="shared" si="5"/>
        <v>WA.ME/55</v>
      </c>
      <c r="C100" s="92" t="s">
        <v>156</v>
      </c>
      <c r="D100" s="89" t="s">
        <v>131</v>
      </c>
      <c r="E100" s="87"/>
      <c r="F100" s="83" t="str">
        <f t="shared" si="6"/>
        <v>WA.ME/55</v>
      </c>
      <c r="G100" s="86" t="str">
        <f t="shared" si="7"/>
        <v>MARCOS VICTOR</v>
      </c>
    </row>
    <row r="101" spans="1:7" x14ac:dyDescent="0.3">
      <c r="A101" s="87"/>
      <c r="B101" s="83" t="str">
        <f t="shared" si="5"/>
        <v>WA.ME/55</v>
      </c>
      <c r="C101" s="92" t="s">
        <v>156</v>
      </c>
      <c r="D101" s="89" t="s">
        <v>91</v>
      </c>
      <c r="E101" s="87"/>
      <c r="F101" s="83" t="str">
        <f t="shared" si="6"/>
        <v>WA.ME/55</v>
      </c>
      <c r="G101" s="86" t="str">
        <f t="shared" si="7"/>
        <v>MARCOS VICTOR</v>
      </c>
    </row>
    <row r="102" spans="1:7" x14ac:dyDescent="0.3">
      <c r="A102" s="87"/>
      <c r="B102" s="83" t="str">
        <f t="shared" si="5"/>
        <v>WA.ME/55</v>
      </c>
      <c r="C102" s="92" t="s">
        <v>156</v>
      </c>
      <c r="D102" s="89" t="s">
        <v>53</v>
      </c>
      <c r="E102" s="87"/>
      <c r="F102" s="83" t="str">
        <f t="shared" si="6"/>
        <v>WA.ME/55</v>
      </c>
      <c r="G102" s="86" t="str">
        <f t="shared" si="7"/>
        <v>MARCOS VICTOR</v>
      </c>
    </row>
    <row r="103" spans="1:7" x14ac:dyDescent="0.3">
      <c r="A103" s="87"/>
      <c r="B103" s="83" t="str">
        <f t="shared" si="5"/>
        <v>WA.ME/55</v>
      </c>
      <c r="C103" s="92" t="s">
        <v>156</v>
      </c>
      <c r="D103" s="89" t="s">
        <v>92</v>
      </c>
      <c r="E103" s="87"/>
      <c r="F103" s="83" t="str">
        <f t="shared" si="6"/>
        <v>WA.ME/55</v>
      </c>
      <c r="G103" s="86" t="str">
        <f t="shared" si="7"/>
        <v>MARCOS VICTOR</v>
      </c>
    </row>
    <row r="104" spans="1:7" x14ac:dyDescent="0.3">
      <c r="A104" s="87"/>
      <c r="B104" s="83" t="str">
        <f t="shared" si="5"/>
        <v>WA.ME/55</v>
      </c>
      <c r="C104" s="92" t="s">
        <v>156</v>
      </c>
      <c r="D104" s="89" t="s">
        <v>58</v>
      </c>
      <c r="E104" s="87"/>
      <c r="F104" s="83" t="str">
        <f t="shared" si="6"/>
        <v>WA.ME/55</v>
      </c>
      <c r="G104" s="86" t="str">
        <f t="shared" si="7"/>
        <v>MARCOS VICTOR</v>
      </c>
    </row>
    <row r="105" spans="1:7" x14ac:dyDescent="0.3">
      <c r="A105" s="87"/>
      <c r="B105" s="83" t="str">
        <f t="shared" si="5"/>
        <v>WA.ME/55</v>
      </c>
      <c r="C105" s="92" t="s">
        <v>156</v>
      </c>
      <c r="D105" s="89" t="s">
        <v>59</v>
      </c>
      <c r="E105" s="87"/>
      <c r="F105" s="83" t="str">
        <f t="shared" si="6"/>
        <v>WA.ME/55</v>
      </c>
      <c r="G105" s="86" t="str">
        <f t="shared" si="7"/>
        <v>MARCOS VICTOR</v>
      </c>
    </row>
    <row r="106" spans="1:7" x14ac:dyDescent="0.3">
      <c r="A106" s="87"/>
      <c r="B106" s="83" t="str">
        <f t="shared" si="5"/>
        <v>WA.ME/55</v>
      </c>
      <c r="C106" s="92" t="s">
        <v>156</v>
      </c>
      <c r="D106" s="89" t="s">
        <v>62</v>
      </c>
      <c r="E106" s="87"/>
      <c r="F106" s="83" t="str">
        <f t="shared" si="6"/>
        <v>WA.ME/55</v>
      </c>
      <c r="G106" s="86" t="str">
        <f t="shared" si="7"/>
        <v>MARCOS VICTOR</v>
      </c>
    </row>
    <row r="107" spans="1:7" x14ac:dyDescent="0.3">
      <c r="A107" s="87"/>
      <c r="B107" s="83" t="str">
        <f t="shared" si="5"/>
        <v>WA.ME/55</v>
      </c>
      <c r="C107" s="92" t="s">
        <v>156</v>
      </c>
      <c r="D107" s="89" t="s">
        <v>67</v>
      </c>
      <c r="E107" s="87"/>
      <c r="F107" s="83" t="str">
        <f t="shared" si="6"/>
        <v>WA.ME/55</v>
      </c>
      <c r="G107" s="86" t="str">
        <f t="shared" si="7"/>
        <v>MARCOS VICTOR</v>
      </c>
    </row>
    <row r="108" spans="1:7" x14ac:dyDescent="0.3">
      <c r="A108" s="87"/>
      <c r="B108" s="83" t="str">
        <f t="shared" si="5"/>
        <v>WA.ME/55</v>
      </c>
      <c r="C108" s="92" t="s">
        <v>156</v>
      </c>
      <c r="D108" s="89" t="s">
        <v>68</v>
      </c>
      <c r="E108" s="87"/>
      <c r="F108" s="83" t="str">
        <f t="shared" si="6"/>
        <v>WA.ME/55</v>
      </c>
      <c r="G108" s="86" t="str">
        <f t="shared" si="7"/>
        <v>MARCOS VICTOR</v>
      </c>
    </row>
    <row r="109" spans="1:7" x14ac:dyDescent="0.3">
      <c r="A109" s="87"/>
      <c r="B109" s="83" t="str">
        <f t="shared" si="5"/>
        <v>WA.ME/55</v>
      </c>
      <c r="C109" s="92" t="s">
        <v>156</v>
      </c>
      <c r="D109" s="89" t="s">
        <v>69</v>
      </c>
      <c r="E109" s="87"/>
      <c r="F109" s="83" t="str">
        <f t="shared" si="6"/>
        <v>WA.ME/55</v>
      </c>
      <c r="G109" s="86" t="str">
        <f t="shared" si="7"/>
        <v>MARCOS VICTOR</v>
      </c>
    </row>
    <row r="110" spans="1:7" x14ac:dyDescent="0.3">
      <c r="A110" s="83"/>
      <c r="B110" s="83" t="str">
        <f t="shared" si="5"/>
        <v>WA.ME/55</v>
      </c>
      <c r="C110" s="92" t="s">
        <v>156</v>
      </c>
      <c r="D110" s="89" t="s">
        <v>194</v>
      </c>
      <c r="E110" s="83"/>
      <c r="F110" s="83" t="str">
        <f t="shared" si="6"/>
        <v>WA.ME/55</v>
      </c>
      <c r="G110" s="86" t="str">
        <f t="shared" si="7"/>
        <v>MARCOS VICTOR</v>
      </c>
    </row>
    <row r="111" spans="1:7" x14ac:dyDescent="0.3">
      <c r="A111" s="87"/>
      <c r="B111" s="83" t="str">
        <f t="shared" si="5"/>
        <v>WA.ME/55</v>
      </c>
      <c r="C111" s="92" t="s">
        <v>156</v>
      </c>
      <c r="D111" s="89" t="s">
        <v>75</v>
      </c>
      <c r="E111" s="87"/>
      <c r="F111" s="83" t="str">
        <f t="shared" si="6"/>
        <v>WA.ME/55</v>
      </c>
      <c r="G111" s="86" t="str">
        <f t="shared" si="7"/>
        <v>MARCOS VICTOR</v>
      </c>
    </row>
    <row r="112" spans="1:7" x14ac:dyDescent="0.3">
      <c r="A112" s="87"/>
      <c r="B112" s="83" t="str">
        <f t="shared" si="5"/>
        <v>WA.ME/55</v>
      </c>
      <c r="C112" s="92" t="s">
        <v>156</v>
      </c>
      <c r="D112" s="89" t="s">
        <v>76</v>
      </c>
      <c r="E112" s="87"/>
      <c r="F112" s="83" t="str">
        <f t="shared" si="6"/>
        <v>WA.ME/55</v>
      </c>
      <c r="G112" s="86" t="str">
        <f t="shared" si="7"/>
        <v>MARCOS VICTOR</v>
      </c>
    </row>
    <row r="113" spans="1:7" x14ac:dyDescent="0.3">
      <c r="A113" s="87"/>
      <c r="B113" s="83" t="str">
        <f t="shared" si="5"/>
        <v>WA.ME/55</v>
      </c>
      <c r="C113" s="90" t="s">
        <v>195</v>
      </c>
      <c r="D113" s="89" t="s">
        <v>56</v>
      </c>
      <c r="E113" s="87"/>
      <c r="F113" s="83" t="str">
        <f t="shared" si="6"/>
        <v>WA.ME/55</v>
      </c>
      <c r="G113" s="86" t="str">
        <f t="shared" si="7"/>
        <v>PALMARES</v>
      </c>
    </row>
    <row r="114" spans="1:7" x14ac:dyDescent="0.3">
      <c r="A114" s="87"/>
      <c r="B114" s="83" t="str">
        <f t="shared" si="5"/>
        <v>WA.ME/55</v>
      </c>
      <c r="C114" s="90" t="s">
        <v>195</v>
      </c>
      <c r="D114" s="89" t="s">
        <v>73</v>
      </c>
      <c r="E114" s="83"/>
      <c r="F114" s="83" t="str">
        <f t="shared" si="6"/>
        <v>WA.ME/55</v>
      </c>
      <c r="G114" s="86" t="str">
        <f t="shared" si="7"/>
        <v>PALMARES</v>
      </c>
    </row>
    <row r="115" spans="1:7" x14ac:dyDescent="0.3">
      <c r="A115" s="87"/>
      <c r="B115" s="83" t="str">
        <f t="shared" si="5"/>
        <v>WA.ME/55</v>
      </c>
      <c r="C115" s="86" t="s">
        <v>155</v>
      </c>
      <c r="D115" s="89" t="s">
        <v>121</v>
      </c>
      <c r="E115" s="87"/>
      <c r="F115" s="83" t="str">
        <f t="shared" si="6"/>
        <v>WA.ME/55</v>
      </c>
      <c r="G115" s="86" t="str">
        <f t="shared" si="7"/>
        <v>WILLIAM DANTAS</v>
      </c>
    </row>
    <row r="116" spans="1:7" x14ac:dyDescent="0.3">
      <c r="A116" s="87"/>
      <c r="B116" s="83" t="str">
        <f t="shared" si="5"/>
        <v>WA.ME/55</v>
      </c>
      <c r="C116" s="86" t="s">
        <v>155</v>
      </c>
      <c r="D116" s="89" t="s">
        <v>11</v>
      </c>
      <c r="E116" s="87"/>
      <c r="F116" s="83" t="str">
        <f t="shared" si="6"/>
        <v>WA.ME/55</v>
      </c>
      <c r="G116" s="86" t="str">
        <f t="shared" si="7"/>
        <v>WILLIAM DANTAS</v>
      </c>
    </row>
    <row r="117" spans="1:7" x14ac:dyDescent="0.3">
      <c r="A117" s="87"/>
      <c r="B117" s="83" t="str">
        <f t="shared" si="5"/>
        <v>WA.ME/55</v>
      </c>
      <c r="C117" s="86" t="s">
        <v>155</v>
      </c>
      <c r="D117" s="89" t="s">
        <v>122</v>
      </c>
      <c r="E117" s="87"/>
      <c r="F117" s="83" t="str">
        <f t="shared" si="6"/>
        <v>WA.ME/55</v>
      </c>
      <c r="G117" s="86" t="str">
        <f t="shared" si="7"/>
        <v>WILLIAM DANTAS</v>
      </c>
    </row>
    <row r="118" spans="1:7" x14ac:dyDescent="0.3">
      <c r="A118" s="87"/>
      <c r="B118" s="83" t="str">
        <f t="shared" si="5"/>
        <v>WA.ME/55</v>
      </c>
      <c r="C118" s="86" t="s">
        <v>155</v>
      </c>
      <c r="D118" s="89" t="s">
        <v>123</v>
      </c>
      <c r="E118" s="87"/>
      <c r="F118" s="83" t="str">
        <f t="shared" si="6"/>
        <v>WA.ME/55</v>
      </c>
      <c r="G118" s="86" t="str">
        <f t="shared" si="7"/>
        <v>WILLIAM DANTAS</v>
      </c>
    </row>
    <row r="119" spans="1:7" x14ac:dyDescent="0.3">
      <c r="A119" s="87"/>
      <c r="B119" s="83" t="str">
        <f t="shared" si="5"/>
        <v>WA.ME/55</v>
      </c>
      <c r="C119" s="86" t="s">
        <v>155</v>
      </c>
      <c r="D119" s="89" t="s">
        <v>21</v>
      </c>
      <c r="E119" s="87"/>
      <c r="F119" s="83" t="str">
        <f t="shared" si="6"/>
        <v>WA.ME/55</v>
      </c>
      <c r="G119" s="86" t="str">
        <f t="shared" si="7"/>
        <v>WILLIAM DANTAS</v>
      </c>
    </row>
    <row r="120" spans="1:7" x14ac:dyDescent="0.3">
      <c r="A120" s="87"/>
      <c r="B120" s="83" t="str">
        <f t="shared" si="5"/>
        <v>WA.ME/55</v>
      </c>
      <c r="C120" s="86" t="s">
        <v>155</v>
      </c>
      <c r="D120" s="89" t="s">
        <v>23</v>
      </c>
      <c r="E120" s="87"/>
      <c r="F120" s="83" t="str">
        <f t="shared" si="6"/>
        <v>WA.ME/55</v>
      </c>
      <c r="G120" s="86" t="str">
        <f t="shared" si="7"/>
        <v>WILLIAM DANTAS</v>
      </c>
    </row>
    <row r="121" spans="1:7" x14ac:dyDescent="0.3">
      <c r="A121" s="87"/>
      <c r="B121" s="83" t="str">
        <f t="shared" si="5"/>
        <v>WA.ME/55</v>
      </c>
      <c r="C121" s="86" t="s">
        <v>155</v>
      </c>
      <c r="D121" s="89" t="s">
        <v>100</v>
      </c>
      <c r="E121" s="87"/>
      <c r="F121" s="83" t="str">
        <f t="shared" si="6"/>
        <v>WA.ME/55</v>
      </c>
      <c r="G121" s="86" t="str">
        <f t="shared" si="7"/>
        <v>WILLIAM DANTAS</v>
      </c>
    </row>
    <row r="122" spans="1:7" x14ac:dyDescent="0.3">
      <c r="A122" s="87"/>
      <c r="B122" s="83" t="str">
        <f t="shared" si="5"/>
        <v>WA.ME/55</v>
      </c>
      <c r="C122" s="86" t="s">
        <v>155</v>
      </c>
      <c r="D122" s="89" t="s">
        <v>125</v>
      </c>
      <c r="E122" s="87"/>
      <c r="F122" s="83" t="str">
        <f t="shared" si="6"/>
        <v>WA.ME/55</v>
      </c>
      <c r="G122" s="86" t="str">
        <f t="shared" si="7"/>
        <v>WILLIAM DANTAS</v>
      </c>
    </row>
    <row r="123" spans="1:7" x14ac:dyDescent="0.3">
      <c r="A123" s="87"/>
      <c r="B123" s="83" t="str">
        <f t="shared" si="5"/>
        <v>WA.ME/55</v>
      </c>
      <c r="C123" s="86" t="s">
        <v>155</v>
      </c>
      <c r="D123" s="89" t="s">
        <v>186</v>
      </c>
      <c r="E123" s="87"/>
      <c r="F123" s="83" t="str">
        <f t="shared" si="6"/>
        <v>WA.ME/55</v>
      </c>
      <c r="G123" s="86" t="str">
        <f t="shared" si="7"/>
        <v>WILLIAM DANTAS</v>
      </c>
    </row>
    <row r="124" spans="1:7" x14ac:dyDescent="0.3">
      <c r="A124" s="87"/>
      <c r="B124" s="83" t="str">
        <f t="shared" si="5"/>
        <v>WA.ME/55</v>
      </c>
      <c r="C124" s="86" t="s">
        <v>155</v>
      </c>
      <c r="D124" s="89" t="s">
        <v>25</v>
      </c>
      <c r="E124" s="87"/>
      <c r="F124" s="83" t="str">
        <f t="shared" si="6"/>
        <v>WA.ME/55</v>
      </c>
      <c r="G124" s="86" t="str">
        <f t="shared" si="7"/>
        <v>WILLIAM DANTAS</v>
      </c>
    </row>
    <row r="125" spans="1:7" x14ac:dyDescent="0.3">
      <c r="A125" s="87"/>
      <c r="B125" s="83" t="str">
        <f t="shared" si="5"/>
        <v>WA.ME/55</v>
      </c>
      <c r="C125" s="86" t="s">
        <v>155</v>
      </c>
      <c r="D125" s="89" t="s">
        <v>34</v>
      </c>
      <c r="E125" s="87"/>
      <c r="F125" s="83" t="str">
        <f t="shared" si="6"/>
        <v>WA.ME/55</v>
      </c>
      <c r="G125" s="86" t="str">
        <f t="shared" si="7"/>
        <v>WILLIAM DANTAS</v>
      </c>
    </row>
    <row r="126" spans="1:7" x14ac:dyDescent="0.3">
      <c r="A126" s="87"/>
      <c r="B126" s="83" t="str">
        <f t="shared" si="5"/>
        <v>WA.ME/55</v>
      </c>
      <c r="C126" s="86" t="s">
        <v>155</v>
      </c>
      <c r="D126" s="89" t="s">
        <v>39</v>
      </c>
      <c r="E126" s="87"/>
      <c r="F126" s="83" t="str">
        <f t="shared" si="6"/>
        <v>WA.ME/55</v>
      </c>
      <c r="G126" s="86" t="str">
        <f t="shared" si="7"/>
        <v>WILLIAM DANTAS</v>
      </c>
    </row>
    <row r="127" spans="1:7" x14ac:dyDescent="0.3">
      <c r="A127" s="87"/>
      <c r="B127" s="83" t="str">
        <f t="shared" si="5"/>
        <v>WA.ME/55</v>
      </c>
      <c r="C127" s="86" t="s">
        <v>155</v>
      </c>
      <c r="D127" s="89" t="s">
        <v>48</v>
      </c>
      <c r="E127" s="87"/>
      <c r="F127" s="83" t="str">
        <f t="shared" si="6"/>
        <v>WA.ME/55</v>
      </c>
      <c r="G127" s="86" t="str">
        <f t="shared" si="7"/>
        <v>WILLIAM DANTAS</v>
      </c>
    </row>
    <row r="128" spans="1:7" x14ac:dyDescent="0.3">
      <c r="A128" s="87"/>
      <c r="B128" s="83" t="str">
        <f t="shared" si="5"/>
        <v>WA.ME/55</v>
      </c>
      <c r="C128" s="86" t="s">
        <v>155</v>
      </c>
      <c r="D128" s="89" t="s">
        <v>52</v>
      </c>
      <c r="E128" s="87"/>
      <c r="F128" s="83" t="str">
        <f t="shared" si="6"/>
        <v>WA.ME/55</v>
      </c>
      <c r="G128" s="86" t="str">
        <f t="shared" si="7"/>
        <v>WILLIAM DANTAS</v>
      </c>
    </row>
    <row r="129" spans="1:7" x14ac:dyDescent="0.3">
      <c r="A129" s="87"/>
      <c r="B129" s="83" t="str">
        <f t="shared" si="5"/>
        <v>WA.ME/55</v>
      </c>
      <c r="C129" s="86" t="s">
        <v>155</v>
      </c>
      <c r="D129" s="89" t="s">
        <v>132</v>
      </c>
      <c r="E129" s="87"/>
      <c r="F129" s="83" t="str">
        <f t="shared" si="6"/>
        <v>WA.ME/55</v>
      </c>
      <c r="G129" s="86" t="str">
        <f t="shared" si="7"/>
        <v>WILLIAM DANTAS</v>
      </c>
    </row>
    <row r="130" spans="1:7" x14ac:dyDescent="0.3">
      <c r="A130" s="87"/>
      <c r="B130" s="83" t="str">
        <f t="shared" si="5"/>
        <v>WA.ME/55</v>
      </c>
      <c r="C130" s="86" t="s">
        <v>155</v>
      </c>
      <c r="D130" s="89" t="s">
        <v>54</v>
      </c>
      <c r="E130" s="87"/>
      <c r="F130" s="83" t="str">
        <f t="shared" si="6"/>
        <v>WA.ME/55</v>
      </c>
      <c r="G130" s="86" t="str">
        <f t="shared" si="7"/>
        <v>WILLIAM DANTAS</v>
      </c>
    </row>
    <row r="131" spans="1:7" x14ac:dyDescent="0.3">
      <c r="A131" s="87"/>
      <c r="B131" s="83" t="str">
        <f t="shared" si="5"/>
        <v>WA.ME/55</v>
      </c>
      <c r="C131" s="86" t="s">
        <v>155</v>
      </c>
      <c r="D131" s="89" t="s">
        <v>133</v>
      </c>
      <c r="E131" s="87"/>
      <c r="F131" s="83" t="str">
        <f t="shared" si="6"/>
        <v>WA.ME/55</v>
      </c>
      <c r="G131" s="86" t="str">
        <f t="shared" ref="G131:G137" si="8">C131</f>
        <v>WILLIAM DANTAS</v>
      </c>
    </row>
    <row r="132" spans="1:7" x14ac:dyDescent="0.3">
      <c r="A132" s="87"/>
      <c r="B132" s="83" t="str">
        <f t="shared" si="5"/>
        <v>WA.ME/55</v>
      </c>
      <c r="C132" s="86" t="s">
        <v>155</v>
      </c>
      <c r="D132" s="89" t="s">
        <v>61</v>
      </c>
      <c r="E132" s="87"/>
      <c r="F132" s="83" t="str">
        <f t="shared" si="6"/>
        <v>WA.ME/55</v>
      </c>
      <c r="G132" s="86" t="str">
        <f t="shared" si="8"/>
        <v>WILLIAM DANTAS</v>
      </c>
    </row>
    <row r="133" spans="1:7" x14ac:dyDescent="0.3">
      <c r="A133" s="83"/>
      <c r="B133" s="83" t="str">
        <f t="shared" ref="B133:B137" si="9">CONCATENATE($A$1,A133)</f>
        <v>WA.ME/55</v>
      </c>
      <c r="C133" s="86" t="s">
        <v>155</v>
      </c>
      <c r="D133" s="89" t="s">
        <v>103</v>
      </c>
      <c r="E133" s="83"/>
      <c r="F133" s="83" t="str">
        <f t="shared" ref="F133:F137" si="10">CONCATENATE($E$1,E133)</f>
        <v>WA.ME/55</v>
      </c>
      <c r="G133" s="86" t="str">
        <f t="shared" si="8"/>
        <v>WILLIAM DANTAS</v>
      </c>
    </row>
    <row r="134" spans="1:7" x14ac:dyDescent="0.3">
      <c r="A134" s="87"/>
      <c r="B134" s="83" t="str">
        <f t="shared" si="9"/>
        <v>WA.ME/55</v>
      </c>
      <c r="C134" s="86" t="s">
        <v>155</v>
      </c>
      <c r="D134" s="89" t="s">
        <v>77</v>
      </c>
      <c r="E134" s="87"/>
      <c r="F134" s="83" t="str">
        <f t="shared" si="10"/>
        <v>WA.ME/55</v>
      </c>
      <c r="G134" s="86" t="str">
        <f t="shared" si="8"/>
        <v>WILLIAM DANTAS</v>
      </c>
    </row>
    <row r="135" spans="1:7" x14ac:dyDescent="0.3">
      <c r="A135" s="83"/>
      <c r="B135" s="83" t="str">
        <f t="shared" si="9"/>
        <v>WA.ME/55</v>
      </c>
      <c r="C135" s="86" t="s">
        <v>155</v>
      </c>
      <c r="D135" s="89" t="s">
        <v>135</v>
      </c>
      <c r="E135" s="83"/>
      <c r="F135" s="83" t="str">
        <f t="shared" si="10"/>
        <v>WA.ME/55</v>
      </c>
      <c r="G135" s="86" t="str">
        <f t="shared" si="8"/>
        <v>WILLIAM DANTAS</v>
      </c>
    </row>
    <row r="136" spans="1:7" x14ac:dyDescent="0.3">
      <c r="A136" s="83"/>
      <c r="B136" s="83" t="str">
        <f t="shared" si="9"/>
        <v>WA.ME/55</v>
      </c>
      <c r="C136" s="86" t="s">
        <v>155</v>
      </c>
      <c r="D136" s="89" t="s">
        <v>94</v>
      </c>
      <c r="E136" s="87"/>
      <c r="F136" s="83" t="str">
        <f t="shared" si="10"/>
        <v>WA.ME/55</v>
      </c>
      <c r="G136" s="86" t="str">
        <f t="shared" si="8"/>
        <v>WILLIAM DANTAS</v>
      </c>
    </row>
    <row r="137" spans="1:7" x14ac:dyDescent="0.3">
      <c r="A137" s="87"/>
      <c r="B137" s="83" t="str">
        <f t="shared" si="9"/>
        <v>WA.ME/55</v>
      </c>
      <c r="C137" s="86" t="s">
        <v>155</v>
      </c>
      <c r="D137" s="89" t="s">
        <v>136</v>
      </c>
      <c r="E137" s="87"/>
      <c r="F137" s="83" t="str">
        <f t="shared" si="10"/>
        <v>WA.ME/55</v>
      </c>
      <c r="G137" s="86" t="str">
        <f t="shared" si="8"/>
        <v>WILLIAM DANTAS</v>
      </c>
    </row>
    <row r="138" spans="1:7" x14ac:dyDescent="0.3">
      <c r="A138" s="87"/>
      <c r="B138" s="87"/>
      <c r="C138" s="87"/>
      <c r="D138" s="87"/>
      <c r="E138" s="87"/>
      <c r="F138" s="87"/>
      <c r="G138" s="87"/>
    </row>
    <row r="139" spans="1:7" x14ac:dyDescent="0.3">
      <c r="A139" s="87"/>
      <c r="B139" s="87"/>
      <c r="C139" s="87"/>
      <c r="D139" s="87"/>
      <c r="E139" s="87"/>
      <c r="F139" s="87"/>
      <c r="G139" s="87"/>
    </row>
    <row r="140" spans="1:7" x14ac:dyDescent="0.3">
      <c r="A140" s="87"/>
      <c r="B140" s="87"/>
      <c r="C140" s="87"/>
      <c r="D140" s="87"/>
      <c r="E140" s="87"/>
      <c r="F140" s="87"/>
      <c r="G140" s="87"/>
    </row>
    <row r="141" spans="1:7" x14ac:dyDescent="0.3">
      <c r="A141" s="87"/>
      <c r="B141" s="87"/>
      <c r="C141" s="87"/>
      <c r="D141" s="87"/>
      <c r="E141" s="87"/>
      <c r="F141" s="87"/>
      <c r="G141" s="87"/>
    </row>
    <row r="142" spans="1:7" x14ac:dyDescent="0.3">
      <c r="A142" s="87"/>
      <c r="B142" s="87"/>
      <c r="C142" s="87"/>
      <c r="D142" s="87"/>
      <c r="E142" s="87"/>
      <c r="F142" s="87"/>
      <c r="G142" s="87"/>
    </row>
    <row r="143" spans="1:7" x14ac:dyDescent="0.3">
      <c r="A143" s="87"/>
      <c r="B143" s="87"/>
      <c r="C143" s="87"/>
      <c r="D143" s="87"/>
      <c r="E143" s="87"/>
      <c r="F143" s="87"/>
      <c r="G143" s="87"/>
    </row>
    <row r="144" spans="1:7" x14ac:dyDescent="0.3">
      <c r="A144" s="87"/>
      <c r="B144" s="87"/>
      <c r="C144" s="87"/>
      <c r="D144" s="87"/>
      <c r="E144" s="87"/>
      <c r="F144" s="87"/>
      <c r="G144" s="87"/>
    </row>
    <row r="145" spans="1:7" x14ac:dyDescent="0.3">
      <c r="A145" s="87"/>
      <c r="B145" s="87"/>
      <c r="C145" s="87"/>
      <c r="D145" s="87"/>
      <c r="E145" s="87"/>
      <c r="F145" s="87"/>
      <c r="G145" s="87"/>
    </row>
    <row r="146" spans="1:7" x14ac:dyDescent="0.3">
      <c r="A146" s="87"/>
      <c r="B146" s="87"/>
      <c r="C146" s="87"/>
      <c r="D146" s="87"/>
      <c r="E146" s="87"/>
      <c r="F146" s="87"/>
      <c r="G146" s="87"/>
    </row>
    <row r="147" spans="1:7" x14ac:dyDescent="0.3">
      <c r="A147" s="87"/>
      <c r="B147" s="87"/>
      <c r="C147" s="87"/>
      <c r="D147" s="87"/>
      <c r="E147" s="87"/>
      <c r="F147" s="87"/>
      <c r="G147" s="87"/>
    </row>
    <row r="148" spans="1:7" x14ac:dyDescent="0.3">
      <c r="A148" s="87"/>
      <c r="B148" s="87"/>
      <c r="C148" s="87"/>
      <c r="D148" s="87"/>
      <c r="E148" s="87"/>
      <c r="F148" s="87"/>
      <c r="G148" s="87"/>
    </row>
    <row r="149" spans="1:7" x14ac:dyDescent="0.3">
      <c r="A149" s="87"/>
      <c r="B149" s="87"/>
      <c r="C149" s="87"/>
      <c r="D149" s="87"/>
      <c r="E149" s="87"/>
      <c r="F149" s="87"/>
      <c r="G149" s="87"/>
    </row>
    <row r="150" spans="1:7" x14ac:dyDescent="0.3">
      <c r="A150" s="87"/>
      <c r="B150" s="87"/>
      <c r="C150" s="87"/>
      <c r="D150" s="87"/>
      <c r="E150" s="87"/>
      <c r="F150" s="87"/>
      <c r="G150" s="87"/>
    </row>
    <row r="151" spans="1:7" x14ac:dyDescent="0.3">
      <c r="A151" s="87"/>
      <c r="B151" s="87"/>
      <c r="C151" s="87"/>
      <c r="D151" s="87"/>
      <c r="E151" s="87"/>
      <c r="F151" s="87"/>
      <c r="G151" s="87"/>
    </row>
    <row r="152" spans="1:7" x14ac:dyDescent="0.3">
      <c r="A152" s="87"/>
      <c r="B152" s="87"/>
      <c r="C152" s="87"/>
      <c r="D152" s="87"/>
      <c r="E152" s="87"/>
      <c r="F152" s="87"/>
      <c r="G152" s="87"/>
    </row>
    <row r="153" spans="1:7" x14ac:dyDescent="0.3">
      <c r="A153" s="87"/>
      <c r="B153" s="87"/>
      <c r="C153" s="87"/>
      <c r="D153" s="87"/>
      <c r="E153" s="87"/>
      <c r="F153" s="87"/>
      <c r="G153" s="87"/>
    </row>
    <row r="154" spans="1:7" x14ac:dyDescent="0.3">
      <c r="A154" s="87"/>
      <c r="B154" s="87"/>
      <c r="C154" s="87"/>
      <c r="D154" s="87"/>
      <c r="E154" s="87"/>
      <c r="F154" s="87"/>
      <c r="G154" s="87"/>
    </row>
    <row r="155" spans="1:7" x14ac:dyDescent="0.3">
      <c r="A155" s="87"/>
      <c r="B155" s="87"/>
      <c r="C155" s="87"/>
      <c r="D155" s="87"/>
      <c r="E155" s="87"/>
      <c r="F155" s="87"/>
      <c r="G155" s="87"/>
    </row>
    <row r="156" spans="1:7" x14ac:dyDescent="0.3">
      <c r="A156" s="87"/>
      <c r="B156" s="87"/>
      <c r="C156" s="87"/>
      <c r="D156" s="87"/>
      <c r="E156" s="87"/>
      <c r="F156" s="87"/>
      <c r="G156" s="87"/>
    </row>
    <row r="157" spans="1:7" x14ac:dyDescent="0.3">
      <c r="A157" s="87"/>
      <c r="B157" s="87"/>
      <c r="C157" s="87"/>
      <c r="D157" s="87"/>
      <c r="E157" s="87"/>
      <c r="F157" s="87"/>
      <c r="G157" s="87"/>
    </row>
    <row r="158" spans="1:7" x14ac:dyDescent="0.3">
      <c r="A158" s="87"/>
      <c r="B158" s="87"/>
      <c r="C158" s="87"/>
      <c r="D158" s="87"/>
      <c r="E158" s="87"/>
      <c r="F158" s="87"/>
      <c r="G158" s="87"/>
    </row>
    <row r="159" spans="1:7" x14ac:dyDescent="0.3">
      <c r="A159" s="87"/>
      <c r="B159" s="87"/>
      <c r="C159" s="87"/>
      <c r="D159" s="87"/>
      <c r="E159" s="87"/>
      <c r="F159" s="87"/>
      <c r="G159" s="87"/>
    </row>
    <row r="160" spans="1:7" x14ac:dyDescent="0.3">
      <c r="A160" s="87"/>
      <c r="B160" s="87"/>
      <c r="C160" s="87"/>
      <c r="D160" s="87"/>
      <c r="E160" s="87"/>
      <c r="F160" s="87"/>
      <c r="G160" s="87"/>
    </row>
    <row r="161" spans="1:7" x14ac:dyDescent="0.3">
      <c r="A161" s="87"/>
      <c r="B161" s="87"/>
      <c r="C161" s="87"/>
      <c r="D161" s="87"/>
      <c r="E161" s="87"/>
      <c r="F161" s="87"/>
      <c r="G161" s="87"/>
    </row>
    <row r="162" spans="1:7" x14ac:dyDescent="0.3">
      <c r="A162" s="87"/>
      <c r="B162" s="87"/>
      <c r="C162" s="87"/>
      <c r="D162" s="87"/>
      <c r="E162" s="87"/>
      <c r="F162" s="87"/>
      <c r="G162" s="87"/>
    </row>
    <row r="163" spans="1:7" x14ac:dyDescent="0.3">
      <c r="A163" s="87"/>
      <c r="B163" s="87"/>
      <c r="C163" s="87"/>
      <c r="D163" s="87"/>
      <c r="E163" s="87"/>
      <c r="F163" s="87"/>
      <c r="G163" s="87"/>
    </row>
    <row r="164" spans="1:7" x14ac:dyDescent="0.3">
      <c r="A164" s="87"/>
      <c r="B164" s="87"/>
      <c r="C164" s="87"/>
      <c r="D164" s="87"/>
      <c r="E164" s="87"/>
      <c r="F164" s="87"/>
      <c r="G164" s="87"/>
    </row>
    <row r="165" spans="1:7" x14ac:dyDescent="0.3">
      <c r="A165" s="87"/>
      <c r="B165" s="87"/>
      <c r="C165" s="87"/>
      <c r="D165" s="87"/>
      <c r="E165" s="87"/>
      <c r="F165" s="87"/>
      <c r="G165" s="87"/>
    </row>
    <row r="166" spans="1:7" x14ac:dyDescent="0.3">
      <c r="A166" s="87"/>
      <c r="B166" s="87"/>
      <c r="C166" s="87"/>
      <c r="D166" s="87"/>
      <c r="E166" s="87"/>
      <c r="F166" s="87"/>
      <c r="G166" s="87"/>
    </row>
    <row r="167" spans="1:7" x14ac:dyDescent="0.3">
      <c r="A167" s="87"/>
      <c r="B167" s="87"/>
      <c r="C167" s="87"/>
      <c r="D167" s="87"/>
      <c r="E167" s="87"/>
      <c r="F167" s="87"/>
      <c r="G167" s="87"/>
    </row>
    <row r="168" spans="1:7" x14ac:dyDescent="0.3">
      <c r="A168" s="87"/>
      <c r="B168" s="87"/>
      <c r="C168" s="87"/>
      <c r="D168" s="87"/>
      <c r="E168" s="87"/>
      <c r="F168" s="87"/>
      <c r="G168" s="87"/>
    </row>
    <row r="169" spans="1:7" x14ac:dyDescent="0.3">
      <c r="A169" s="87"/>
      <c r="B169" s="87"/>
      <c r="C169" s="87"/>
      <c r="D169" s="87"/>
      <c r="E169" s="87"/>
      <c r="F169" s="87"/>
      <c r="G169" s="87"/>
    </row>
    <row r="170" spans="1:7" x14ac:dyDescent="0.3">
      <c r="A170" s="87"/>
      <c r="B170" s="87"/>
      <c r="C170" s="87"/>
      <c r="D170" s="87"/>
      <c r="E170" s="87"/>
      <c r="F170" s="87"/>
      <c r="G170" s="87"/>
    </row>
    <row r="171" spans="1:7" x14ac:dyDescent="0.3">
      <c r="A171" s="87"/>
      <c r="B171" s="87"/>
      <c r="C171" s="87"/>
      <c r="D171" s="87"/>
      <c r="E171" s="87"/>
      <c r="F171" s="87"/>
      <c r="G171" s="87"/>
    </row>
    <row r="172" spans="1:7" x14ac:dyDescent="0.3">
      <c r="A172" s="87"/>
      <c r="B172" s="87"/>
      <c r="C172" s="87"/>
      <c r="D172" s="87"/>
      <c r="E172" s="87"/>
      <c r="F172" s="87"/>
      <c r="G172" s="87"/>
    </row>
    <row r="173" spans="1:7" x14ac:dyDescent="0.3">
      <c r="A173" s="87"/>
      <c r="B173" s="87"/>
      <c r="C173" s="87"/>
      <c r="D173" s="87"/>
      <c r="E173" s="87"/>
      <c r="F173" s="87"/>
      <c r="G173" s="87"/>
    </row>
    <row r="174" spans="1:7" x14ac:dyDescent="0.3">
      <c r="A174" s="87"/>
      <c r="B174" s="87"/>
      <c r="C174" s="87"/>
      <c r="D174" s="87"/>
      <c r="E174" s="87"/>
      <c r="F174" s="87"/>
      <c r="G174" s="87"/>
    </row>
    <row r="175" spans="1:7" x14ac:dyDescent="0.3">
      <c r="A175" s="87"/>
      <c r="B175" s="87"/>
      <c r="C175" s="87"/>
      <c r="D175" s="87"/>
      <c r="E175" s="87"/>
      <c r="F175" s="87"/>
      <c r="G175" s="87"/>
    </row>
    <row r="176" spans="1:7" x14ac:dyDescent="0.3">
      <c r="A176" s="87"/>
      <c r="B176" s="87"/>
      <c r="C176" s="87"/>
      <c r="D176" s="87"/>
      <c r="E176" s="87"/>
      <c r="F176" s="87"/>
      <c r="G176" s="87"/>
    </row>
    <row r="177" spans="1:7" x14ac:dyDescent="0.3">
      <c r="A177" s="87"/>
      <c r="B177" s="87"/>
      <c r="C177" s="87"/>
      <c r="D177" s="87"/>
      <c r="E177" s="87"/>
      <c r="F177" s="87"/>
      <c r="G177" s="87"/>
    </row>
    <row r="178" spans="1:7" x14ac:dyDescent="0.3">
      <c r="A178" s="87"/>
      <c r="B178" s="87"/>
      <c r="C178" s="87"/>
      <c r="D178" s="87"/>
      <c r="E178" s="87"/>
      <c r="F178" s="87"/>
      <c r="G178" s="87"/>
    </row>
    <row r="179" spans="1:7" x14ac:dyDescent="0.3">
      <c r="A179" s="87"/>
      <c r="B179" s="87"/>
      <c r="C179" s="87"/>
      <c r="D179" s="87"/>
      <c r="E179" s="87"/>
      <c r="F179" s="87"/>
      <c r="G179" s="87"/>
    </row>
    <row r="180" spans="1:7" x14ac:dyDescent="0.3">
      <c r="A180" s="87"/>
      <c r="B180" s="87"/>
      <c r="C180" s="87"/>
      <c r="D180" s="87"/>
      <c r="E180" s="87"/>
      <c r="F180" s="87"/>
      <c r="G180" s="87"/>
    </row>
    <row r="181" spans="1:7" x14ac:dyDescent="0.3">
      <c r="A181" s="87"/>
      <c r="B181" s="87"/>
      <c r="C181" s="87"/>
      <c r="D181" s="87"/>
      <c r="E181" s="87"/>
      <c r="F181" s="87"/>
      <c r="G181" s="87"/>
    </row>
    <row r="182" spans="1:7" x14ac:dyDescent="0.3">
      <c r="A182" s="87"/>
      <c r="B182" s="87"/>
      <c r="C182" s="87"/>
      <c r="D182" s="87"/>
      <c r="E182" s="87"/>
      <c r="F182" s="87"/>
      <c r="G182" s="87"/>
    </row>
    <row r="183" spans="1:7" x14ac:dyDescent="0.3">
      <c r="A183" s="87"/>
      <c r="B183" s="87"/>
      <c r="C183" s="87"/>
      <c r="D183" s="87"/>
      <c r="E183" s="87"/>
      <c r="F183" s="87"/>
      <c r="G183" s="87"/>
    </row>
    <row r="184" spans="1:7" x14ac:dyDescent="0.3">
      <c r="A184" s="87"/>
      <c r="B184" s="87"/>
      <c r="C184" s="87"/>
      <c r="D184" s="87"/>
      <c r="E184" s="87"/>
      <c r="F184" s="87"/>
      <c r="G184" s="87"/>
    </row>
    <row r="185" spans="1:7" x14ac:dyDescent="0.3">
      <c r="A185" s="87"/>
      <c r="B185" s="87"/>
      <c r="C185" s="87"/>
      <c r="D185" s="87"/>
      <c r="E185" s="87"/>
      <c r="F185" s="87"/>
      <c r="G185" s="87"/>
    </row>
    <row r="186" spans="1:7" x14ac:dyDescent="0.3">
      <c r="A186" s="87"/>
      <c r="B186" s="87"/>
      <c r="C186" s="87"/>
      <c r="D186" s="87"/>
      <c r="E186" s="87"/>
      <c r="F186" s="87"/>
      <c r="G186" s="87"/>
    </row>
    <row r="187" spans="1:7" x14ac:dyDescent="0.3">
      <c r="A187" s="87"/>
      <c r="B187" s="87"/>
      <c r="C187" s="87"/>
      <c r="D187" s="87"/>
      <c r="E187" s="87"/>
      <c r="F187" s="87"/>
      <c r="G187" s="87"/>
    </row>
    <row r="188" spans="1:7" x14ac:dyDescent="0.3">
      <c r="A188" s="87"/>
      <c r="B188" s="87"/>
      <c r="C188" s="87"/>
      <c r="D188" s="87"/>
      <c r="E188" s="87"/>
      <c r="F188" s="87"/>
      <c r="G188" s="87"/>
    </row>
    <row r="189" spans="1:7" x14ac:dyDescent="0.3">
      <c r="A189" s="87"/>
      <c r="B189" s="87"/>
      <c r="C189" s="87"/>
      <c r="D189" s="87"/>
      <c r="E189" s="87"/>
      <c r="F189" s="87"/>
      <c r="G189" s="87"/>
    </row>
    <row r="190" spans="1:7" x14ac:dyDescent="0.3">
      <c r="A190" s="87"/>
      <c r="B190" s="87"/>
      <c r="C190" s="87"/>
      <c r="D190" s="87"/>
      <c r="E190" s="87"/>
      <c r="F190" s="87"/>
      <c r="G190" s="87"/>
    </row>
    <row r="191" spans="1:7" x14ac:dyDescent="0.3">
      <c r="A191" s="87"/>
      <c r="B191" s="87"/>
      <c r="C191" s="87"/>
      <c r="D191" s="87"/>
      <c r="E191" s="87"/>
      <c r="F191" s="87"/>
      <c r="G191" s="87"/>
    </row>
    <row r="192" spans="1:7" x14ac:dyDescent="0.3">
      <c r="A192" s="87"/>
      <c r="B192" s="87"/>
      <c r="C192" s="87"/>
      <c r="D192" s="87"/>
      <c r="E192" s="87"/>
      <c r="F192" s="87"/>
      <c r="G192" s="87"/>
    </row>
    <row r="193" spans="1:7" x14ac:dyDescent="0.3">
      <c r="A193" s="87"/>
      <c r="B193" s="87"/>
      <c r="C193" s="87"/>
      <c r="D193" s="87"/>
      <c r="E193" s="87"/>
      <c r="F193" s="87"/>
      <c r="G193" s="87"/>
    </row>
    <row r="194" spans="1:7" x14ac:dyDescent="0.3">
      <c r="A194" s="87"/>
      <c r="B194" s="87"/>
      <c r="C194" s="87"/>
      <c r="D194" s="87"/>
      <c r="E194" s="87"/>
      <c r="F194" s="87"/>
      <c r="G194" s="87"/>
    </row>
    <row r="195" spans="1:7" x14ac:dyDescent="0.3">
      <c r="A195" s="87"/>
      <c r="B195" s="87"/>
      <c r="C195" s="87"/>
      <c r="D195" s="87"/>
      <c r="E195" s="87"/>
      <c r="F195" s="87"/>
      <c r="G195" s="87"/>
    </row>
    <row r="196" spans="1:7" x14ac:dyDescent="0.3">
      <c r="A196" s="87"/>
      <c r="B196" s="87"/>
      <c r="C196" s="87"/>
      <c r="D196" s="87"/>
      <c r="E196" s="87"/>
      <c r="F196" s="87"/>
      <c r="G196" s="87"/>
    </row>
    <row r="197" spans="1:7" x14ac:dyDescent="0.3">
      <c r="A197" s="87"/>
      <c r="B197" s="87"/>
      <c r="C197" s="87"/>
      <c r="D197" s="87"/>
      <c r="E197" s="87"/>
      <c r="F197" s="87"/>
      <c r="G197" s="87"/>
    </row>
    <row r="198" spans="1:7" x14ac:dyDescent="0.3">
      <c r="A198" s="87"/>
      <c r="B198" s="87"/>
      <c r="C198" s="87"/>
      <c r="D198" s="87"/>
      <c r="E198" s="87"/>
      <c r="F198" s="87"/>
      <c r="G198" s="87"/>
    </row>
    <row r="199" spans="1:7" x14ac:dyDescent="0.3">
      <c r="A199" s="87"/>
      <c r="B199" s="87"/>
      <c r="C199" s="87"/>
      <c r="D199" s="87"/>
      <c r="E199" s="87"/>
      <c r="F199" s="87"/>
      <c r="G199" s="87"/>
    </row>
    <row r="200" spans="1:7" x14ac:dyDescent="0.3">
      <c r="A200" s="87"/>
      <c r="B200" s="87"/>
      <c r="C200" s="87"/>
      <c r="D200" s="87"/>
      <c r="E200" s="87"/>
      <c r="F200" s="87"/>
      <c r="G200" s="87"/>
    </row>
    <row r="201" spans="1:7" x14ac:dyDescent="0.3">
      <c r="A201" s="87"/>
      <c r="B201" s="87"/>
      <c r="C201" s="87"/>
      <c r="D201" s="87"/>
      <c r="E201" s="87"/>
      <c r="F201" s="87"/>
      <c r="G201" s="87"/>
    </row>
    <row r="202" spans="1:7" x14ac:dyDescent="0.3">
      <c r="A202" s="87"/>
      <c r="B202" s="87"/>
      <c r="C202" s="87"/>
      <c r="D202" s="87"/>
      <c r="E202" s="87"/>
      <c r="F202" s="87"/>
      <c r="G202" s="87"/>
    </row>
    <row r="203" spans="1:7" x14ac:dyDescent="0.3">
      <c r="A203" s="87"/>
      <c r="B203" s="87"/>
      <c r="C203" s="87"/>
      <c r="D203" s="87"/>
      <c r="E203" s="87"/>
      <c r="F203" s="87"/>
      <c r="G203" s="87"/>
    </row>
    <row r="204" spans="1:7" x14ac:dyDescent="0.3">
      <c r="A204" s="87"/>
      <c r="B204" s="87"/>
      <c r="C204" s="87"/>
      <c r="D204" s="87"/>
      <c r="E204" s="87"/>
      <c r="F204" s="87"/>
      <c r="G204" s="87"/>
    </row>
    <row r="205" spans="1:7" x14ac:dyDescent="0.3">
      <c r="A205" s="87"/>
      <c r="B205" s="87"/>
      <c r="C205" s="87"/>
      <c r="D205" s="87"/>
      <c r="E205" s="87"/>
      <c r="F205" s="87"/>
      <c r="G205" s="87"/>
    </row>
    <row r="206" spans="1:7" x14ac:dyDescent="0.3">
      <c r="A206" s="87"/>
      <c r="B206" s="87"/>
      <c r="C206" s="87"/>
      <c r="D206" s="87"/>
      <c r="E206" s="87"/>
      <c r="F206" s="87"/>
      <c r="G206" s="87"/>
    </row>
    <row r="207" spans="1:7" x14ac:dyDescent="0.3">
      <c r="A207" s="87"/>
      <c r="B207" s="87"/>
      <c r="C207" s="87"/>
      <c r="D207" s="87"/>
      <c r="E207" s="87"/>
      <c r="F207" s="87"/>
      <c r="G207" s="87"/>
    </row>
    <row r="208" spans="1:7" x14ac:dyDescent="0.3">
      <c r="A208" s="87"/>
      <c r="B208" s="87"/>
      <c r="C208" s="87"/>
      <c r="D208" s="87"/>
      <c r="E208" s="87"/>
      <c r="F208" s="87"/>
      <c r="G208" s="87"/>
    </row>
    <row r="209" spans="1:7" x14ac:dyDescent="0.3">
      <c r="A209" s="87"/>
      <c r="B209" s="87"/>
      <c r="C209" s="87"/>
      <c r="D209" s="87"/>
      <c r="E209" s="87"/>
      <c r="F209" s="87"/>
      <c r="G209" s="87"/>
    </row>
    <row r="210" spans="1:7" x14ac:dyDescent="0.3">
      <c r="A210" s="87"/>
      <c r="B210" s="87"/>
      <c r="C210" s="87"/>
      <c r="D210" s="87"/>
      <c r="E210" s="87"/>
      <c r="F210" s="87"/>
      <c r="G210" s="87"/>
    </row>
    <row r="211" spans="1:7" x14ac:dyDescent="0.3">
      <c r="A211" s="87"/>
      <c r="B211" s="87"/>
      <c r="C211" s="87"/>
      <c r="D211" s="87"/>
      <c r="E211" s="87"/>
      <c r="F211" s="87"/>
      <c r="G211" s="87"/>
    </row>
    <row r="212" spans="1:7" x14ac:dyDescent="0.3">
      <c r="A212" s="87"/>
      <c r="B212" s="87"/>
      <c r="C212" s="87"/>
      <c r="D212" s="87"/>
      <c r="E212" s="87"/>
      <c r="F212" s="87"/>
      <c r="G212" s="87"/>
    </row>
    <row r="213" spans="1:7" x14ac:dyDescent="0.3">
      <c r="A213" s="87"/>
      <c r="B213" s="87"/>
      <c r="C213" s="87"/>
      <c r="D213" s="87"/>
      <c r="E213" s="87"/>
      <c r="F213" s="87"/>
      <c r="G213" s="87"/>
    </row>
    <row r="214" spans="1:7" x14ac:dyDescent="0.3">
      <c r="A214" s="87"/>
      <c r="B214" s="87"/>
      <c r="C214" s="87"/>
      <c r="D214" s="87"/>
      <c r="E214" s="87"/>
      <c r="F214" s="87"/>
      <c r="G214" s="87"/>
    </row>
    <row r="215" spans="1:7" x14ac:dyDescent="0.3">
      <c r="A215" s="87"/>
      <c r="B215" s="87"/>
      <c r="C215" s="87"/>
      <c r="D215" s="87"/>
      <c r="E215" s="87"/>
      <c r="F215" s="87"/>
      <c r="G215" s="87"/>
    </row>
    <row r="216" spans="1:7" x14ac:dyDescent="0.3">
      <c r="A216" s="87"/>
      <c r="B216" s="87"/>
      <c r="C216" s="87"/>
      <c r="D216" s="87"/>
      <c r="E216" s="87"/>
      <c r="F216" s="87"/>
      <c r="G216" s="87"/>
    </row>
    <row r="217" spans="1:7" x14ac:dyDescent="0.3">
      <c r="A217" s="87"/>
      <c r="B217" s="87"/>
      <c r="C217" s="87"/>
      <c r="D217" s="87"/>
      <c r="E217" s="87"/>
      <c r="F217" s="87"/>
      <c r="G217" s="87"/>
    </row>
    <row r="218" spans="1:7" x14ac:dyDescent="0.3">
      <c r="A218" s="87"/>
      <c r="B218" s="87"/>
      <c r="C218" s="87"/>
      <c r="D218" s="87"/>
      <c r="E218" s="87"/>
      <c r="F218" s="87"/>
      <c r="G218" s="87"/>
    </row>
    <row r="219" spans="1:7" x14ac:dyDescent="0.3">
      <c r="A219" s="87"/>
      <c r="B219" s="87"/>
      <c r="C219" s="87"/>
      <c r="D219" s="87"/>
      <c r="E219" s="87"/>
      <c r="F219" s="87"/>
      <c r="G219" s="87"/>
    </row>
    <row r="220" spans="1:7" x14ac:dyDescent="0.3">
      <c r="A220" s="87"/>
      <c r="B220" s="87"/>
      <c r="C220" s="87"/>
      <c r="D220" s="87"/>
      <c r="E220" s="87"/>
      <c r="F220" s="87"/>
      <c r="G220" s="87"/>
    </row>
    <row r="221" spans="1:7" x14ac:dyDescent="0.3">
      <c r="A221" s="87"/>
      <c r="B221" s="87"/>
      <c r="C221" s="87"/>
      <c r="D221" s="87"/>
      <c r="E221" s="87"/>
      <c r="F221" s="87"/>
      <c r="G221" s="87"/>
    </row>
    <row r="222" spans="1:7" x14ac:dyDescent="0.3">
      <c r="A222" s="87"/>
      <c r="B222" s="87"/>
      <c r="C222" s="87"/>
      <c r="D222" s="87"/>
      <c r="E222" s="87"/>
      <c r="F222" s="87"/>
      <c r="G222" s="87"/>
    </row>
    <row r="223" spans="1:7" x14ac:dyDescent="0.3">
      <c r="A223" s="87"/>
      <c r="B223" s="87"/>
      <c r="C223" s="87"/>
      <c r="D223" s="87"/>
      <c r="E223" s="87"/>
      <c r="F223" s="87"/>
      <c r="G223" s="87"/>
    </row>
    <row r="224" spans="1:7" x14ac:dyDescent="0.3">
      <c r="A224" s="87"/>
      <c r="B224" s="87"/>
      <c r="C224" s="87"/>
      <c r="D224" s="87"/>
      <c r="E224" s="87"/>
      <c r="F224" s="87"/>
      <c r="G224" s="87"/>
    </row>
    <row r="225" spans="1:7" x14ac:dyDescent="0.3">
      <c r="A225" s="87"/>
      <c r="B225" s="87"/>
      <c r="C225" s="87"/>
      <c r="D225" s="87"/>
      <c r="E225" s="87"/>
      <c r="F225" s="87"/>
      <c r="G225" s="87"/>
    </row>
    <row r="226" spans="1:7" x14ac:dyDescent="0.3">
      <c r="A226" s="87"/>
      <c r="B226" s="87"/>
      <c r="C226" s="87"/>
      <c r="D226" s="87"/>
      <c r="E226" s="87"/>
      <c r="F226" s="87"/>
      <c r="G226" s="87"/>
    </row>
    <row r="227" spans="1:7" x14ac:dyDescent="0.3">
      <c r="A227" s="87"/>
      <c r="B227" s="87"/>
      <c r="C227" s="87"/>
      <c r="D227" s="87"/>
      <c r="E227" s="87"/>
      <c r="F227" s="87"/>
      <c r="G227" s="87"/>
    </row>
    <row r="228" spans="1:7" x14ac:dyDescent="0.3">
      <c r="A228" s="87"/>
      <c r="B228" s="87"/>
      <c r="C228" s="87"/>
      <c r="D228" s="87"/>
      <c r="E228" s="87"/>
      <c r="F228" s="87"/>
      <c r="G228" s="87"/>
    </row>
    <row r="229" spans="1:7" x14ac:dyDescent="0.3">
      <c r="A229" s="87"/>
      <c r="B229" s="87"/>
      <c r="C229" s="87"/>
      <c r="D229" s="87"/>
      <c r="E229" s="87"/>
      <c r="F229" s="87"/>
      <c r="G229" s="87"/>
    </row>
    <row r="230" spans="1:7" x14ac:dyDescent="0.3">
      <c r="A230" s="87"/>
      <c r="B230" s="87"/>
      <c r="C230" s="87"/>
      <c r="D230" s="87"/>
      <c r="E230" s="87"/>
      <c r="F230" s="87"/>
      <c r="G230" s="87"/>
    </row>
    <row r="231" spans="1:7" x14ac:dyDescent="0.3">
      <c r="A231" s="87"/>
      <c r="B231" s="87"/>
      <c r="C231" s="87"/>
      <c r="D231" s="87"/>
      <c r="E231" s="87"/>
      <c r="F231" s="87"/>
      <c r="G231" s="87"/>
    </row>
    <row r="232" spans="1:7" x14ac:dyDescent="0.3">
      <c r="A232" s="87"/>
      <c r="B232" s="87"/>
      <c r="C232" s="87"/>
      <c r="D232" s="87"/>
      <c r="E232" s="87"/>
      <c r="F232" s="87"/>
      <c r="G232" s="87"/>
    </row>
    <row r="233" spans="1:7" x14ac:dyDescent="0.3">
      <c r="A233" s="87"/>
      <c r="B233" s="87"/>
      <c r="C233" s="87"/>
      <c r="D233" s="87"/>
      <c r="E233" s="87"/>
      <c r="F233" s="87"/>
      <c r="G233" s="87"/>
    </row>
    <row r="234" spans="1:7" x14ac:dyDescent="0.3">
      <c r="A234" s="87"/>
      <c r="B234" s="87"/>
      <c r="C234" s="87"/>
      <c r="D234" s="87"/>
      <c r="E234" s="87"/>
      <c r="F234" s="87"/>
      <c r="G234" s="87"/>
    </row>
    <row r="235" spans="1:7" x14ac:dyDescent="0.3">
      <c r="A235" s="87"/>
      <c r="B235" s="87"/>
      <c r="C235" s="87"/>
      <c r="D235" s="87"/>
      <c r="E235" s="87"/>
      <c r="F235" s="87"/>
      <c r="G235" s="87"/>
    </row>
    <row r="236" spans="1:7" x14ac:dyDescent="0.3">
      <c r="A236" s="87"/>
      <c r="B236" s="87"/>
      <c r="C236" s="87"/>
      <c r="D236" s="87"/>
      <c r="E236" s="87"/>
      <c r="F236" s="87"/>
      <c r="G236" s="87"/>
    </row>
    <row r="237" spans="1:7" x14ac:dyDescent="0.3">
      <c r="A237" s="87"/>
      <c r="B237" s="87"/>
      <c r="C237" s="87"/>
      <c r="D237" s="87"/>
      <c r="E237" s="87"/>
      <c r="F237" s="87"/>
      <c r="G237" s="87"/>
    </row>
    <row r="238" spans="1:7" x14ac:dyDescent="0.3">
      <c r="A238" s="87"/>
      <c r="B238" s="87"/>
      <c r="C238" s="87"/>
      <c r="D238" s="87"/>
      <c r="E238" s="87"/>
      <c r="F238" s="87"/>
      <c r="G238" s="87"/>
    </row>
    <row r="239" spans="1:7" x14ac:dyDescent="0.3">
      <c r="A239" s="87"/>
      <c r="B239" s="87"/>
      <c r="C239" s="87"/>
      <c r="D239" s="87"/>
      <c r="E239" s="87"/>
      <c r="F239" s="87"/>
      <c r="G239" s="87"/>
    </row>
    <row r="240" spans="1:7" x14ac:dyDescent="0.3">
      <c r="A240" s="87"/>
      <c r="B240" s="87"/>
      <c r="C240" s="87"/>
      <c r="D240" s="87"/>
      <c r="E240" s="87"/>
      <c r="F240" s="87"/>
      <c r="G240" s="87"/>
    </row>
    <row r="241" spans="1:7" x14ac:dyDescent="0.3">
      <c r="A241" s="87"/>
      <c r="B241" s="87"/>
      <c r="C241" s="87"/>
      <c r="D241" s="87"/>
      <c r="E241" s="87"/>
      <c r="F241" s="87"/>
      <c r="G241" s="87"/>
    </row>
    <row r="242" spans="1:7" x14ac:dyDescent="0.3">
      <c r="A242" s="87"/>
      <c r="B242" s="87"/>
      <c r="C242" s="87"/>
      <c r="D242" s="87"/>
      <c r="E242" s="87"/>
      <c r="F242" s="87"/>
      <c r="G242" s="87"/>
    </row>
    <row r="243" spans="1:7" x14ac:dyDescent="0.3">
      <c r="A243" s="87"/>
      <c r="B243" s="87"/>
      <c r="C243" s="87"/>
      <c r="D243" s="87"/>
      <c r="E243" s="87"/>
      <c r="F243" s="87"/>
      <c r="G243" s="87"/>
    </row>
    <row r="244" spans="1:7" x14ac:dyDescent="0.3">
      <c r="A244" s="87"/>
      <c r="B244" s="87"/>
      <c r="C244" s="87"/>
      <c r="D244" s="87"/>
      <c r="E244" s="87"/>
      <c r="F244" s="87"/>
      <c r="G244" s="87"/>
    </row>
    <row r="245" spans="1:7" x14ac:dyDescent="0.3">
      <c r="A245" s="87"/>
      <c r="B245" s="87"/>
      <c r="C245" s="87"/>
      <c r="D245" s="87"/>
      <c r="E245" s="87"/>
      <c r="F245" s="87"/>
      <c r="G245" s="87"/>
    </row>
    <row r="246" spans="1:7" x14ac:dyDescent="0.3">
      <c r="A246" s="87"/>
      <c r="B246" s="87"/>
      <c r="C246" s="87"/>
      <c r="D246" s="87"/>
      <c r="E246" s="87"/>
      <c r="F246" s="87"/>
      <c r="G246" s="87"/>
    </row>
    <row r="247" spans="1:7" x14ac:dyDescent="0.3">
      <c r="A247" s="87"/>
      <c r="B247" s="87"/>
      <c r="C247" s="87"/>
      <c r="D247" s="87"/>
      <c r="E247" s="87"/>
      <c r="F247" s="87"/>
      <c r="G247" s="87"/>
    </row>
    <row r="248" spans="1:7" x14ac:dyDescent="0.3">
      <c r="A248" s="87"/>
      <c r="B248" s="87"/>
      <c r="C248" s="87"/>
      <c r="D248" s="87"/>
      <c r="E248" s="87"/>
      <c r="F248" s="87"/>
      <c r="G248" s="87"/>
    </row>
    <row r="249" spans="1:7" x14ac:dyDescent="0.3">
      <c r="A249" s="87"/>
      <c r="B249" s="87"/>
      <c r="C249" s="87"/>
      <c r="D249" s="87"/>
      <c r="E249" s="87"/>
      <c r="F249" s="87"/>
      <c r="G249" s="87"/>
    </row>
    <row r="250" spans="1:7" x14ac:dyDescent="0.3">
      <c r="A250" s="87"/>
      <c r="B250" s="87"/>
      <c r="C250" s="87"/>
      <c r="D250" s="87"/>
      <c r="E250" s="87"/>
      <c r="F250" s="87"/>
      <c r="G250" s="87"/>
    </row>
    <row r="251" spans="1:7" x14ac:dyDescent="0.3">
      <c r="A251" s="87"/>
      <c r="B251" s="87"/>
      <c r="C251" s="87"/>
      <c r="D251" s="87"/>
      <c r="E251" s="87"/>
      <c r="F251" s="87"/>
      <c r="G251" s="87"/>
    </row>
    <row r="252" spans="1:7" x14ac:dyDescent="0.3">
      <c r="A252" s="87"/>
      <c r="B252" s="87"/>
      <c r="C252" s="87"/>
      <c r="D252" s="87"/>
      <c r="E252" s="87"/>
      <c r="F252" s="87"/>
      <c r="G252" s="87"/>
    </row>
    <row r="253" spans="1:7" x14ac:dyDescent="0.3">
      <c r="A253" s="87"/>
      <c r="B253" s="87"/>
      <c r="C253" s="87"/>
      <c r="D253" s="87"/>
      <c r="E253" s="87"/>
      <c r="F253" s="87"/>
      <c r="G253" s="87"/>
    </row>
    <row r="254" spans="1:7" x14ac:dyDescent="0.3">
      <c r="A254" s="87"/>
      <c r="B254" s="87"/>
      <c r="C254" s="87"/>
      <c r="D254" s="87"/>
      <c r="E254" s="87"/>
      <c r="F254" s="87"/>
      <c r="G254" s="87"/>
    </row>
    <row r="255" spans="1:7" x14ac:dyDescent="0.3">
      <c r="A255" s="87"/>
      <c r="B255" s="87"/>
      <c r="C255" s="87"/>
      <c r="D255" s="87"/>
      <c r="E255" s="87"/>
      <c r="F255" s="87"/>
      <c r="G255" s="87"/>
    </row>
    <row r="256" spans="1:7" x14ac:dyDescent="0.3">
      <c r="A256" s="87"/>
      <c r="B256" s="87"/>
      <c r="C256" s="87"/>
      <c r="D256" s="87"/>
      <c r="E256" s="87"/>
      <c r="F256" s="87"/>
      <c r="G256" s="87"/>
    </row>
    <row r="257" spans="1:7" x14ac:dyDescent="0.3">
      <c r="A257" s="87"/>
      <c r="B257" s="87"/>
      <c r="C257" s="87"/>
      <c r="D257" s="87"/>
      <c r="E257" s="87"/>
      <c r="F257" s="87"/>
      <c r="G257" s="87"/>
    </row>
    <row r="258" spans="1:7" x14ac:dyDescent="0.3">
      <c r="A258" s="87"/>
      <c r="B258" s="87"/>
      <c r="C258" s="87"/>
      <c r="D258" s="87"/>
      <c r="E258" s="87"/>
      <c r="F258" s="87"/>
      <c r="G258" s="87"/>
    </row>
    <row r="259" spans="1:7" x14ac:dyDescent="0.3">
      <c r="A259" s="87"/>
      <c r="B259" s="87"/>
      <c r="C259" s="87"/>
      <c r="D259" s="87"/>
      <c r="E259" s="87"/>
      <c r="F259" s="87"/>
      <c r="G259" s="87"/>
    </row>
    <row r="260" spans="1:7" x14ac:dyDescent="0.3">
      <c r="A260" s="87"/>
      <c r="B260" s="87"/>
      <c r="C260" s="87"/>
      <c r="D260" s="87"/>
      <c r="E260" s="87"/>
      <c r="F260" s="87"/>
      <c r="G260" s="87"/>
    </row>
    <row r="261" spans="1:7" x14ac:dyDescent="0.3">
      <c r="A261" s="87"/>
      <c r="B261" s="87"/>
      <c r="C261" s="87"/>
      <c r="D261" s="87"/>
      <c r="E261" s="87"/>
      <c r="F261" s="87"/>
      <c r="G261" s="87"/>
    </row>
    <row r="262" spans="1:7" x14ac:dyDescent="0.3">
      <c r="A262" s="87"/>
      <c r="B262" s="87"/>
      <c r="C262" s="87"/>
      <c r="D262" s="87"/>
      <c r="E262" s="87"/>
      <c r="F262" s="87"/>
      <c r="G262" s="87"/>
    </row>
    <row r="263" spans="1:7" x14ac:dyDescent="0.3">
      <c r="A263" s="87"/>
      <c r="B263" s="87"/>
      <c r="C263" s="87"/>
      <c r="D263" s="87"/>
      <c r="E263" s="87"/>
      <c r="F263" s="87"/>
      <c r="G263" s="87"/>
    </row>
    <row r="264" spans="1:7" x14ac:dyDescent="0.3">
      <c r="A264" s="87"/>
      <c r="B264" s="87"/>
      <c r="C264" s="87"/>
      <c r="D264" s="87"/>
      <c r="E264" s="87"/>
      <c r="F264" s="87"/>
      <c r="G264" s="87"/>
    </row>
    <row r="265" spans="1:7" x14ac:dyDescent="0.3">
      <c r="A265" s="87"/>
      <c r="B265" s="87"/>
      <c r="C265" s="87"/>
      <c r="D265" s="87"/>
      <c r="E265" s="87"/>
      <c r="F265" s="87"/>
      <c r="G265" s="87"/>
    </row>
    <row r="266" spans="1:7" x14ac:dyDescent="0.3">
      <c r="A266" s="87"/>
      <c r="B266" s="87"/>
      <c r="C266" s="87"/>
      <c r="D266" s="87"/>
      <c r="E266" s="87"/>
      <c r="F266" s="87"/>
      <c r="G266" s="87"/>
    </row>
    <row r="267" spans="1:7" x14ac:dyDescent="0.3">
      <c r="A267" s="87"/>
      <c r="B267" s="87"/>
      <c r="C267" s="87"/>
      <c r="D267" s="87"/>
      <c r="E267" s="87"/>
      <c r="F267" s="87"/>
      <c r="G267" s="87"/>
    </row>
    <row r="268" spans="1:7" x14ac:dyDescent="0.3">
      <c r="A268" s="87"/>
      <c r="B268" s="87"/>
      <c r="C268" s="87"/>
      <c r="D268" s="87"/>
      <c r="E268" s="87"/>
      <c r="F268" s="87"/>
      <c r="G268" s="87"/>
    </row>
    <row r="269" spans="1:7" x14ac:dyDescent="0.3">
      <c r="A269" s="87"/>
      <c r="B269" s="87"/>
      <c r="C269" s="87"/>
      <c r="D269" s="87"/>
      <c r="E269" s="87"/>
      <c r="F269" s="87"/>
      <c r="G269" s="87"/>
    </row>
    <row r="270" spans="1:7" x14ac:dyDescent="0.3">
      <c r="A270" s="87"/>
      <c r="B270" s="87"/>
      <c r="C270" s="87"/>
      <c r="D270" s="87"/>
      <c r="E270" s="87"/>
      <c r="F270" s="87"/>
      <c r="G270" s="87"/>
    </row>
    <row r="271" spans="1:7" x14ac:dyDescent="0.3">
      <c r="A271" s="87"/>
      <c r="B271" s="87"/>
      <c r="C271" s="87"/>
      <c r="D271" s="87"/>
      <c r="E271" s="87"/>
      <c r="F271" s="87"/>
      <c r="G271" s="87"/>
    </row>
    <row r="272" spans="1:7" x14ac:dyDescent="0.3">
      <c r="A272" s="87"/>
      <c r="B272" s="87"/>
      <c r="C272" s="87"/>
      <c r="D272" s="87"/>
      <c r="E272" s="87"/>
      <c r="F272" s="87"/>
      <c r="G272" s="87"/>
    </row>
    <row r="273" spans="1:7" x14ac:dyDescent="0.3">
      <c r="A273" s="87"/>
      <c r="B273" s="87"/>
      <c r="C273" s="87"/>
      <c r="D273" s="87"/>
      <c r="E273" s="87"/>
      <c r="F273" s="87"/>
      <c r="G273" s="87"/>
    </row>
    <row r="274" spans="1:7" x14ac:dyDescent="0.3">
      <c r="A274" s="87"/>
      <c r="B274" s="87"/>
      <c r="C274" s="87"/>
      <c r="D274" s="87"/>
      <c r="E274" s="87"/>
      <c r="F274" s="87"/>
      <c r="G274" s="87"/>
    </row>
    <row r="275" spans="1:7" x14ac:dyDescent="0.3">
      <c r="A275" s="87"/>
      <c r="B275" s="87"/>
      <c r="C275" s="87"/>
      <c r="D275" s="87"/>
      <c r="E275" s="87"/>
      <c r="F275" s="87"/>
      <c r="G275" s="87"/>
    </row>
    <row r="276" spans="1:7" x14ac:dyDescent="0.3">
      <c r="A276" s="87"/>
      <c r="B276" s="87"/>
      <c r="C276" s="87"/>
      <c r="D276" s="87"/>
      <c r="E276" s="87"/>
      <c r="F276" s="87"/>
      <c r="G276" s="87"/>
    </row>
    <row r="277" spans="1:7" x14ac:dyDescent="0.3">
      <c r="A277" s="87"/>
      <c r="B277" s="87"/>
      <c r="C277" s="87"/>
      <c r="D277" s="87"/>
      <c r="E277" s="87"/>
      <c r="F277" s="87"/>
      <c r="G277" s="87"/>
    </row>
    <row r="278" spans="1:7" x14ac:dyDescent="0.3">
      <c r="A278" s="87"/>
      <c r="B278" s="87"/>
      <c r="C278" s="87"/>
      <c r="D278" s="87"/>
      <c r="E278" s="87"/>
      <c r="F278" s="87"/>
      <c r="G278" s="87"/>
    </row>
    <row r="279" spans="1:7" x14ac:dyDescent="0.3">
      <c r="A279" s="87"/>
      <c r="B279" s="87"/>
      <c r="C279" s="87"/>
      <c r="D279" s="87"/>
      <c r="E279" s="87"/>
      <c r="F279" s="87"/>
      <c r="G279" s="87"/>
    </row>
    <row r="280" spans="1:7" x14ac:dyDescent="0.3">
      <c r="A280" s="87"/>
      <c r="B280" s="87"/>
      <c r="C280" s="87"/>
      <c r="D280" s="87"/>
      <c r="E280" s="87"/>
      <c r="F280" s="87"/>
      <c r="G280" s="87"/>
    </row>
    <row r="281" spans="1:7" x14ac:dyDescent="0.3">
      <c r="A281" s="87"/>
      <c r="B281" s="87"/>
      <c r="C281" s="87"/>
      <c r="D281" s="87"/>
      <c r="E281" s="87"/>
      <c r="F281" s="87"/>
      <c r="G281" s="87"/>
    </row>
    <row r="282" spans="1:7" x14ac:dyDescent="0.3">
      <c r="A282" s="87"/>
      <c r="B282" s="87"/>
      <c r="C282" s="87"/>
      <c r="D282" s="87"/>
      <c r="E282" s="87"/>
      <c r="F282" s="87"/>
      <c r="G282" s="87"/>
    </row>
    <row r="283" spans="1:7" x14ac:dyDescent="0.3">
      <c r="A283" s="87"/>
      <c r="B283" s="87"/>
      <c r="C283" s="87"/>
      <c r="D283" s="87"/>
      <c r="E283" s="87"/>
      <c r="F283" s="87"/>
      <c r="G283" s="87"/>
    </row>
    <row r="284" spans="1:7" x14ac:dyDescent="0.3">
      <c r="A284" s="87"/>
      <c r="B284" s="87"/>
      <c r="C284" s="87"/>
      <c r="D284" s="87"/>
      <c r="E284" s="87"/>
      <c r="F284" s="87"/>
      <c r="G284" s="87"/>
    </row>
    <row r="285" spans="1:7" x14ac:dyDescent="0.3">
      <c r="A285" s="87"/>
      <c r="B285" s="87"/>
      <c r="C285" s="87"/>
      <c r="D285" s="87"/>
      <c r="E285" s="87"/>
      <c r="F285" s="87"/>
      <c r="G285" s="87"/>
    </row>
    <row r="286" spans="1:7" x14ac:dyDescent="0.3">
      <c r="A286" s="87"/>
      <c r="B286" s="87"/>
      <c r="C286" s="87"/>
      <c r="D286" s="87"/>
      <c r="E286" s="87"/>
      <c r="F286" s="87"/>
      <c r="G286" s="87"/>
    </row>
    <row r="287" spans="1:7" x14ac:dyDescent="0.3">
      <c r="A287" s="87"/>
      <c r="B287" s="87"/>
      <c r="C287" s="87"/>
      <c r="D287" s="87"/>
      <c r="E287" s="87"/>
      <c r="F287" s="87"/>
      <c r="G287" s="87"/>
    </row>
    <row r="288" spans="1:7" x14ac:dyDescent="0.3">
      <c r="A288" s="87"/>
      <c r="B288" s="87"/>
      <c r="C288" s="87"/>
      <c r="D288" s="87"/>
      <c r="E288" s="87"/>
      <c r="F288" s="87"/>
      <c r="G288" s="87"/>
    </row>
    <row r="289" spans="1:7" x14ac:dyDescent="0.3">
      <c r="A289" s="87"/>
      <c r="B289" s="87"/>
      <c r="C289" s="87"/>
      <c r="D289" s="87"/>
      <c r="E289" s="87"/>
      <c r="F289" s="87"/>
      <c r="G289" s="87"/>
    </row>
    <row r="290" spans="1:7" x14ac:dyDescent="0.3">
      <c r="A290" s="87"/>
      <c r="B290" s="87"/>
      <c r="C290" s="87"/>
      <c r="D290" s="87"/>
      <c r="E290" s="87"/>
      <c r="F290" s="87"/>
      <c r="G290" s="87"/>
    </row>
    <row r="291" spans="1:7" x14ac:dyDescent="0.3">
      <c r="A291" s="87"/>
      <c r="B291" s="87"/>
      <c r="C291" s="87"/>
      <c r="D291" s="87"/>
      <c r="E291" s="87"/>
      <c r="F291" s="87"/>
      <c r="G291" s="87"/>
    </row>
    <row r="292" spans="1:7" x14ac:dyDescent="0.3">
      <c r="A292" s="87"/>
      <c r="B292" s="87"/>
      <c r="C292" s="87"/>
      <c r="D292" s="87"/>
      <c r="E292" s="87"/>
      <c r="F292" s="87"/>
      <c r="G292" s="87"/>
    </row>
    <row r="293" spans="1:7" x14ac:dyDescent="0.3">
      <c r="A293" s="87"/>
      <c r="B293" s="87"/>
      <c r="C293" s="87"/>
      <c r="D293" s="87"/>
      <c r="E293" s="87"/>
      <c r="F293" s="87"/>
      <c r="G293" s="87"/>
    </row>
    <row r="294" spans="1:7" x14ac:dyDescent="0.3">
      <c r="A294" s="87"/>
      <c r="B294" s="87"/>
      <c r="C294" s="87"/>
      <c r="D294" s="87"/>
      <c r="E294" s="87"/>
      <c r="F294" s="87"/>
      <c r="G294" s="87"/>
    </row>
    <row r="295" spans="1:7" x14ac:dyDescent="0.3">
      <c r="A295" s="87"/>
      <c r="B295" s="87"/>
      <c r="C295" s="87"/>
      <c r="D295" s="87"/>
      <c r="E295" s="87"/>
      <c r="F295" s="87"/>
      <c r="G295" s="87"/>
    </row>
    <row r="296" spans="1:7" x14ac:dyDescent="0.3">
      <c r="A296" s="87"/>
      <c r="B296" s="87"/>
      <c r="C296" s="87"/>
      <c r="D296" s="87"/>
      <c r="E296" s="87"/>
      <c r="F296" s="87"/>
      <c r="G296" s="87"/>
    </row>
    <row r="297" spans="1:7" x14ac:dyDescent="0.3">
      <c r="A297" s="87"/>
      <c r="B297" s="87"/>
      <c r="C297" s="87"/>
      <c r="D297" s="87"/>
      <c r="E297" s="87"/>
      <c r="F297" s="87"/>
      <c r="G297" s="87"/>
    </row>
    <row r="298" spans="1:7" x14ac:dyDescent="0.3">
      <c r="A298" s="87"/>
      <c r="B298" s="87"/>
      <c r="C298" s="87"/>
      <c r="D298" s="87"/>
      <c r="E298" s="87"/>
      <c r="F298" s="87"/>
      <c r="G298" s="87"/>
    </row>
    <row r="299" spans="1:7" x14ac:dyDescent="0.3">
      <c r="A299" s="87"/>
      <c r="B299" s="87"/>
      <c r="C299" s="87"/>
      <c r="D299" s="87"/>
      <c r="E299" s="87"/>
      <c r="F299" s="87"/>
      <c r="G299" s="87"/>
    </row>
    <row r="300" spans="1:7" x14ac:dyDescent="0.3">
      <c r="A300" s="87"/>
      <c r="B300" s="87"/>
      <c r="C300" s="87"/>
      <c r="D300" s="87"/>
      <c r="E300" s="87"/>
      <c r="F300" s="87"/>
      <c r="G300" s="87"/>
    </row>
    <row r="301" spans="1:7" x14ac:dyDescent="0.3">
      <c r="A301" s="87"/>
      <c r="B301" s="87"/>
      <c r="C301" s="87"/>
      <c r="D301" s="87"/>
      <c r="E301" s="87"/>
      <c r="F301" s="87"/>
      <c r="G301" s="87"/>
    </row>
    <row r="302" spans="1:7" x14ac:dyDescent="0.3">
      <c r="A302" s="87"/>
      <c r="B302" s="87"/>
      <c r="C302" s="87"/>
      <c r="D302" s="87"/>
      <c r="E302" s="87"/>
      <c r="F302" s="87"/>
      <c r="G302" s="87"/>
    </row>
    <row r="303" spans="1:7" x14ac:dyDescent="0.3">
      <c r="A303" s="87"/>
      <c r="B303" s="87"/>
      <c r="C303" s="87"/>
      <c r="D303" s="87"/>
      <c r="E303" s="87"/>
      <c r="F303" s="87"/>
      <c r="G303" s="87"/>
    </row>
    <row r="304" spans="1:7" x14ac:dyDescent="0.3">
      <c r="A304" s="87"/>
      <c r="B304" s="87"/>
      <c r="C304" s="87"/>
      <c r="D304" s="87"/>
      <c r="E304" s="87"/>
      <c r="F304" s="87"/>
      <c r="G304" s="87"/>
    </row>
    <row r="305" spans="1:7" x14ac:dyDescent="0.3">
      <c r="A305" s="87"/>
      <c r="B305" s="87"/>
      <c r="C305" s="87"/>
      <c r="D305" s="87"/>
      <c r="E305" s="87"/>
      <c r="F305" s="87"/>
      <c r="G305" s="87"/>
    </row>
    <row r="306" spans="1:7" x14ac:dyDescent="0.3">
      <c r="A306" s="87"/>
      <c r="B306" s="87"/>
      <c r="C306" s="87"/>
      <c r="D306" s="87"/>
      <c r="E306" s="87"/>
      <c r="F306" s="87"/>
      <c r="G306" s="87"/>
    </row>
    <row r="307" spans="1:7" x14ac:dyDescent="0.3">
      <c r="A307" s="87"/>
      <c r="B307" s="87"/>
      <c r="C307" s="87"/>
      <c r="D307" s="87"/>
      <c r="E307" s="87"/>
      <c r="F307" s="87"/>
      <c r="G307" s="87"/>
    </row>
    <row r="308" spans="1:7" x14ac:dyDescent="0.3">
      <c r="A308" s="87"/>
      <c r="B308" s="87"/>
      <c r="C308" s="87"/>
      <c r="D308" s="87"/>
      <c r="E308" s="87"/>
      <c r="F308" s="87"/>
      <c r="G308" s="87"/>
    </row>
    <row r="309" spans="1:7" x14ac:dyDescent="0.3">
      <c r="A309" s="87"/>
      <c r="B309" s="87"/>
      <c r="C309" s="87"/>
      <c r="D309" s="87"/>
      <c r="E309" s="87"/>
      <c r="F309" s="87"/>
      <c r="G309" s="87"/>
    </row>
    <row r="310" spans="1:7" x14ac:dyDescent="0.3">
      <c r="A310" s="87"/>
      <c r="B310" s="87"/>
      <c r="C310" s="87"/>
      <c r="D310" s="87"/>
      <c r="E310" s="87"/>
      <c r="F310" s="87"/>
      <c r="G310" s="87"/>
    </row>
    <row r="311" spans="1:7" x14ac:dyDescent="0.3">
      <c r="A311" s="87"/>
      <c r="B311" s="87"/>
      <c r="C311" s="87"/>
      <c r="D311" s="87"/>
      <c r="E311" s="87"/>
      <c r="F311" s="87"/>
      <c r="G311" s="87"/>
    </row>
    <row r="312" spans="1:7" x14ac:dyDescent="0.3">
      <c r="A312" s="87"/>
      <c r="B312" s="87"/>
      <c r="C312" s="87"/>
      <c r="D312" s="87"/>
      <c r="E312" s="87"/>
      <c r="F312" s="87"/>
      <c r="G312" s="87"/>
    </row>
    <row r="313" spans="1:7" x14ac:dyDescent="0.3">
      <c r="A313" s="87"/>
      <c r="B313" s="87"/>
      <c r="C313" s="87"/>
      <c r="D313" s="87"/>
      <c r="E313" s="87"/>
      <c r="F313" s="87"/>
      <c r="G313" s="87"/>
    </row>
    <row r="314" spans="1:7" x14ac:dyDescent="0.3">
      <c r="A314" s="87"/>
      <c r="B314" s="87"/>
      <c r="C314" s="87"/>
      <c r="D314" s="87"/>
      <c r="E314" s="87"/>
      <c r="F314" s="87"/>
      <c r="G314" s="87"/>
    </row>
    <row r="315" spans="1:7" x14ac:dyDescent="0.3">
      <c r="A315" s="87"/>
      <c r="B315" s="87"/>
      <c r="C315" s="87"/>
      <c r="D315" s="87"/>
      <c r="E315" s="87"/>
      <c r="F315" s="87"/>
      <c r="G315" s="87"/>
    </row>
    <row r="316" spans="1:7" x14ac:dyDescent="0.3">
      <c r="A316" s="87"/>
      <c r="B316" s="87"/>
      <c r="C316" s="87"/>
      <c r="D316" s="87"/>
      <c r="E316" s="87"/>
      <c r="F316" s="87"/>
      <c r="G316" s="87"/>
    </row>
    <row r="317" spans="1:7" x14ac:dyDescent="0.3">
      <c r="A317" s="87"/>
      <c r="B317" s="87"/>
      <c r="C317" s="87"/>
      <c r="D317" s="87"/>
      <c r="E317" s="87"/>
      <c r="F317" s="87"/>
      <c r="G317" s="87"/>
    </row>
    <row r="318" spans="1:7" x14ac:dyDescent="0.3">
      <c r="A318" s="87"/>
      <c r="B318" s="87"/>
      <c r="C318" s="87"/>
      <c r="D318" s="87"/>
      <c r="E318" s="87"/>
      <c r="F318" s="87"/>
      <c r="G318" s="87"/>
    </row>
    <row r="319" spans="1:7" x14ac:dyDescent="0.3">
      <c r="A319" s="87"/>
      <c r="B319" s="87"/>
      <c r="C319" s="87"/>
      <c r="D319" s="87"/>
      <c r="E319" s="87"/>
      <c r="F319" s="87"/>
      <c r="G319" s="87"/>
    </row>
    <row r="320" spans="1:7" x14ac:dyDescent="0.3">
      <c r="A320" s="87"/>
      <c r="B320" s="87"/>
      <c r="C320" s="87"/>
      <c r="D320" s="87"/>
      <c r="E320" s="87"/>
      <c r="F320" s="87"/>
      <c r="G320" s="87"/>
    </row>
    <row r="321" spans="1:7" x14ac:dyDescent="0.3">
      <c r="A321" s="87"/>
      <c r="B321" s="87"/>
      <c r="C321" s="87"/>
      <c r="D321" s="87"/>
      <c r="E321" s="87"/>
      <c r="F321" s="87"/>
      <c r="G321" s="87"/>
    </row>
    <row r="322" spans="1:7" x14ac:dyDescent="0.3">
      <c r="A322" s="87"/>
      <c r="B322" s="87"/>
      <c r="C322" s="87"/>
      <c r="D322" s="87"/>
      <c r="E322" s="87"/>
      <c r="F322" s="87"/>
      <c r="G322" s="87"/>
    </row>
    <row r="323" spans="1:7" x14ac:dyDescent="0.3">
      <c r="A323" s="87"/>
      <c r="B323" s="87"/>
      <c r="C323" s="87"/>
      <c r="D323" s="87"/>
      <c r="E323" s="87"/>
      <c r="F323" s="87"/>
      <c r="G323" s="87"/>
    </row>
    <row r="324" spans="1:7" x14ac:dyDescent="0.3">
      <c r="A324" s="87"/>
      <c r="B324" s="87"/>
      <c r="C324" s="87"/>
      <c r="D324" s="87"/>
      <c r="E324" s="87"/>
      <c r="F324" s="87"/>
      <c r="G324" s="87"/>
    </row>
    <row r="325" spans="1:7" x14ac:dyDescent="0.3">
      <c r="A325" s="87"/>
      <c r="B325" s="87"/>
      <c r="C325" s="87"/>
      <c r="D325" s="87"/>
      <c r="E325" s="87"/>
      <c r="F325" s="87"/>
      <c r="G325" s="87"/>
    </row>
    <row r="326" spans="1:7" x14ac:dyDescent="0.3">
      <c r="A326" s="87"/>
      <c r="B326" s="87"/>
      <c r="C326" s="87"/>
      <c r="D326" s="87"/>
      <c r="E326" s="87"/>
      <c r="F326" s="87"/>
      <c r="G326" s="87"/>
    </row>
    <row r="327" spans="1:7" x14ac:dyDescent="0.3">
      <c r="A327" s="87"/>
      <c r="B327" s="87"/>
      <c r="C327" s="87"/>
      <c r="D327" s="87"/>
      <c r="E327" s="87"/>
      <c r="F327" s="87"/>
      <c r="G327" s="87"/>
    </row>
    <row r="328" spans="1:7" x14ac:dyDescent="0.3">
      <c r="A328" s="87"/>
      <c r="B328" s="87"/>
      <c r="C328" s="87"/>
      <c r="D328" s="87"/>
      <c r="E328" s="87"/>
      <c r="F328" s="87"/>
      <c r="G328" s="87"/>
    </row>
    <row r="329" spans="1:7" x14ac:dyDescent="0.3">
      <c r="A329" s="87"/>
      <c r="B329" s="87"/>
      <c r="C329" s="87"/>
      <c r="D329" s="87"/>
      <c r="E329" s="87"/>
      <c r="F329" s="87"/>
      <c r="G329" s="87"/>
    </row>
    <row r="330" spans="1:7" x14ac:dyDescent="0.3">
      <c r="A330" s="87"/>
      <c r="B330" s="87"/>
      <c r="C330" s="87"/>
      <c r="D330" s="87"/>
      <c r="E330" s="87"/>
      <c r="F330" s="87"/>
      <c r="G330" s="87"/>
    </row>
    <row r="331" spans="1:7" x14ac:dyDescent="0.3">
      <c r="A331" s="87"/>
      <c r="B331" s="87"/>
      <c r="C331" s="87"/>
      <c r="D331" s="87"/>
      <c r="E331" s="87"/>
      <c r="F331" s="87"/>
      <c r="G331" s="87"/>
    </row>
    <row r="332" spans="1:7" x14ac:dyDescent="0.3">
      <c r="A332" s="87"/>
      <c r="B332" s="87"/>
      <c r="C332" s="87"/>
      <c r="D332" s="87"/>
      <c r="E332" s="87"/>
      <c r="F332" s="87"/>
      <c r="G332" s="87"/>
    </row>
    <row r="333" spans="1:7" x14ac:dyDescent="0.3">
      <c r="A333" s="87"/>
      <c r="B333" s="87"/>
      <c r="C333" s="87"/>
      <c r="D333" s="87"/>
      <c r="E333" s="87"/>
      <c r="F333" s="87"/>
      <c r="G333" s="87"/>
    </row>
    <row r="334" spans="1:7" x14ac:dyDescent="0.3">
      <c r="A334" s="87"/>
      <c r="B334" s="87"/>
      <c r="C334" s="87"/>
      <c r="D334" s="87"/>
      <c r="E334" s="87"/>
      <c r="F334" s="87"/>
      <c r="G334" s="87"/>
    </row>
    <row r="335" spans="1:7" x14ac:dyDescent="0.3">
      <c r="A335" s="87"/>
      <c r="B335" s="87"/>
      <c r="C335" s="87"/>
      <c r="D335" s="87"/>
      <c r="E335" s="87"/>
      <c r="F335" s="87"/>
      <c r="G335" s="87"/>
    </row>
    <row r="336" spans="1:7" x14ac:dyDescent="0.3">
      <c r="A336" s="87"/>
      <c r="B336" s="87"/>
      <c r="C336" s="87"/>
      <c r="D336" s="87"/>
      <c r="E336" s="87"/>
      <c r="F336" s="87"/>
      <c r="G336" s="87"/>
    </row>
    <row r="337" spans="1:7" x14ac:dyDescent="0.3">
      <c r="A337" s="87"/>
      <c r="B337" s="87"/>
      <c r="C337" s="87"/>
      <c r="D337" s="87"/>
      <c r="E337" s="87"/>
      <c r="F337" s="87"/>
      <c r="G337" s="87"/>
    </row>
    <row r="338" spans="1:7" x14ac:dyDescent="0.3">
      <c r="A338" s="87"/>
      <c r="B338" s="87"/>
      <c r="C338" s="87"/>
      <c r="D338" s="87"/>
      <c r="E338" s="87"/>
      <c r="F338" s="87"/>
      <c r="G338" s="87"/>
    </row>
    <row r="339" spans="1:7" x14ac:dyDescent="0.3">
      <c r="A339" s="87"/>
      <c r="B339" s="87"/>
      <c r="C339" s="87"/>
      <c r="D339" s="87"/>
      <c r="E339" s="87"/>
      <c r="F339" s="87"/>
      <c r="G339" s="87"/>
    </row>
    <row r="340" spans="1:7" x14ac:dyDescent="0.3">
      <c r="A340" s="87"/>
      <c r="B340" s="87"/>
      <c r="C340" s="87"/>
      <c r="D340" s="87"/>
      <c r="E340" s="87"/>
      <c r="F340" s="87"/>
      <c r="G340" s="87"/>
    </row>
    <row r="341" spans="1:7" x14ac:dyDescent="0.3">
      <c r="A341" s="87"/>
      <c r="B341" s="87"/>
      <c r="C341" s="87"/>
      <c r="D341" s="87"/>
      <c r="E341" s="87"/>
      <c r="F341" s="87"/>
      <c r="G341" s="87"/>
    </row>
    <row r="342" spans="1:7" x14ac:dyDescent="0.3">
      <c r="A342" s="87"/>
      <c r="B342" s="87"/>
      <c r="C342" s="87"/>
      <c r="D342" s="87"/>
      <c r="E342" s="87"/>
      <c r="F342" s="87"/>
      <c r="G342" s="87"/>
    </row>
    <row r="343" spans="1:7" x14ac:dyDescent="0.3">
      <c r="A343" s="87"/>
      <c r="B343" s="87"/>
      <c r="C343" s="87"/>
      <c r="D343" s="87"/>
      <c r="E343" s="87"/>
      <c r="F343" s="87"/>
      <c r="G343" s="87"/>
    </row>
    <row r="344" spans="1:7" x14ac:dyDescent="0.3">
      <c r="A344" s="87"/>
      <c r="B344" s="87"/>
      <c r="C344" s="87"/>
      <c r="D344" s="87"/>
      <c r="E344" s="87"/>
      <c r="F344" s="87"/>
      <c r="G344" s="87"/>
    </row>
    <row r="345" spans="1:7" x14ac:dyDescent="0.3">
      <c r="A345" s="87"/>
      <c r="B345" s="87"/>
      <c r="C345" s="87"/>
      <c r="D345" s="87"/>
      <c r="E345" s="87"/>
      <c r="F345" s="87"/>
      <c r="G345" s="87"/>
    </row>
    <row r="346" spans="1:7" x14ac:dyDescent="0.3">
      <c r="A346" s="87"/>
      <c r="B346" s="87"/>
      <c r="C346" s="87"/>
      <c r="D346" s="87"/>
      <c r="E346" s="87"/>
      <c r="F346" s="87"/>
      <c r="G346" s="87"/>
    </row>
    <row r="347" spans="1:7" x14ac:dyDescent="0.3">
      <c r="A347" s="87"/>
      <c r="B347" s="87"/>
      <c r="C347" s="87"/>
      <c r="D347" s="87"/>
      <c r="E347" s="87"/>
      <c r="F347" s="87"/>
      <c r="G347" s="87"/>
    </row>
    <row r="348" spans="1:7" x14ac:dyDescent="0.3">
      <c r="A348" s="87"/>
      <c r="B348" s="87"/>
      <c r="C348" s="87"/>
      <c r="D348" s="87"/>
      <c r="E348" s="87"/>
      <c r="F348" s="87"/>
      <c r="G348" s="87"/>
    </row>
    <row r="349" spans="1:7" x14ac:dyDescent="0.3">
      <c r="A349" s="87"/>
      <c r="B349" s="87"/>
      <c r="C349" s="87"/>
      <c r="D349" s="87"/>
      <c r="E349" s="87"/>
      <c r="F349" s="87"/>
      <c r="G349" s="87"/>
    </row>
    <row r="350" spans="1:7" x14ac:dyDescent="0.3">
      <c r="A350" s="87"/>
      <c r="B350" s="87"/>
      <c r="C350" s="87"/>
      <c r="D350" s="87"/>
      <c r="E350" s="87"/>
      <c r="F350" s="87"/>
      <c r="G350" s="87"/>
    </row>
    <row r="351" spans="1:7" x14ac:dyDescent="0.3">
      <c r="A351" s="87"/>
      <c r="B351" s="87"/>
      <c r="C351" s="87"/>
      <c r="D351" s="87"/>
      <c r="E351" s="87"/>
      <c r="F351" s="87"/>
      <c r="G351" s="87"/>
    </row>
    <row r="352" spans="1:7" x14ac:dyDescent="0.3">
      <c r="A352" s="87"/>
      <c r="B352" s="87"/>
      <c r="C352" s="87"/>
      <c r="D352" s="87"/>
      <c r="E352" s="87"/>
      <c r="F352" s="87"/>
      <c r="G352" s="87"/>
    </row>
    <row r="353" spans="1:7" x14ac:dyDescent="0.3">
      <c r="A353" s="87"/>
      <c r="B353" s="87"/>
      <c r="C353" s="87"/>
      <c r="D353" s="87"/>
      <c r="E353" s="87"/>
      <c r="F353" s="87"/>
      <c r="G353" s="87"/>
    </row>
    <row r="354" spans="1:7" x14ac:dyDescent="0.3">
      <c r="A354" s="87"/>
      <c r="B354" s="87"/>
      <c r="C354" s="87"/>
      <c r="D354" s="87"/>
      <c r="E354" s="87"/>
      <c r="F354" s="87"/>
      <c r="G354" s="87"/>
    </row>
    <row r="355" spans="1:7" x14ac:dyDescent="0.3">
      <c r="A355" s="87"/>
      <c r="B355" s="87"/>
      <c r="C355" s="87"/>
      <c r="D355" s="87"/>
      <c r="E355" s="87"/>
      <c r="F355" s="87"/>
      <c r="G355" s="87"/>
    </row>
    <row r="356" spans="1:7" x14ac:dyDescent="0.3">
      <c r="A356" s="87"/>
      <c r="B356" s="87"/>
      <c r="C356" s="87"/>
      <c r="D356" s="87"/>
      <c r="E356" s="87"/>
      <c r="F356" s="87"/>
      <c r="G356" s="87"/>
    </row>
    <row r="357" spans="1:7" x14ac:dyDescent="0.3">
      <c r="A357" s="87"/>
      <c r="B357" s="87"/>
      <c r="C357" s="87"/>
      <c r="D357" s="87"/>
      <c r="E357" s="87"/>
      <c r="F357" s="87"/>
      <c r="G357" s="87"/>
    </row>
    <row r="358" spans="1:7" x14ac:dyDescent="0.3">
      <c r="A358" s="87"/>
      <c r="B358" s="87"/>
      <c r="C358" s="87"/>
      <c r="D358" s="87"/>
      <c r="E358" s="87"/>
      <c r="F358" s="87"/>
      <c r="G358" s="87"/>
    </row>
    <row r="359" spans="1:7" x14ac:dyDescent="0.3">
      <c r="A359" s="87"/>
      <c r="B359" s="87"/>
      <c r="C359" s="87"/>
      <c r="D359" s="87"/>
      <c r="E359" s="87"/>
      <c r="F359" s="87"/>
      <c r="G359" s="87"/>
    </row>
    <row r="360" spans="1:7" x14ac:dyDescent="0.3">
      <c r="A360" s="87"/>
      <c r="B360" s="87"/>
      <c r="C360" s="87"/>
      <c r="D360" s="87"/>
      <c r="E360" s="87"/>
      <c r="F360" s="87"/>
      <c r="G360" s="87"/>
    </row>
    <row r="361" spans="1:7" x14ac:dyDescent="0.3">
      <c r="A361" s="87"/>
      <c r="B361" s="87"/>
      <c r="C361" s="87"/>
      <c r="D361" s="87"/>
      <c r="E361" s="87"/>
      <c r="F361" s="87"/>
      <c r="G361" s="87"/>
    </row>
    <row r="362" spans="1:7" x14ac:dyDescent="0.3">
      <c r="A362" s="87"/>
      <c r="B362" s="87"/>
      <c r="C362" s="87"/>
      <c r="D362" s="87"/>
      <c r="E362" s="87"/>
      <c r="F362" s="87"/>
      <c r="G362" s="87"/>
    </row>
    <row r="363" spans="1:7" x14ac:dyDescent="0.3">
      <c r="A363" s="87"/>
      <c r="B363" s="87"/>
      <c r="C363" s="87"/>
      <c r="D363" s="87"/>
      <c r="E363" s="87"/>
      <c r="F363" s="87"/>
      <c r="G363" s="87"/>
    </row>
    <row r="364" spans="1:7" x14ac:dyDescent="0.3">
      <c r="A364" s="87"/>
      <c r="B364" s="87"/>
      <c r="C364" s="87"/>
      <c r="D364" s="87"/>
      <c r="E364" s="87"/>
      <c r="F364" s="87"/>
      <c r="G364" s="87"/>
    </row>
    <row r="365" spans="1:7" x14ac:dyDescent="0.3">
      <c r="A365" s="87"/>
      <c r="B365" s="87"/>
      <c r="C365" s="87"/>
      <c r="D365" s="87"/>
      <c r="E365" s="87"/>
      <c r="F365" s="87"/>
      <c r="G365" s="87"/>
    </row>
    <row r="366" spans="1:7" x14ac:dyDescent="0.3">
      <c r="A366" s="87"/>
      <c r="B366" s="87"/>
      <c r="C366" s="87"/>
      <c r="D366" s="87"/>
      <c r="E366" s="87"/>
      <c r="F366" s="87"/>
      <c r="G366" s="87"/>
    </row>
    <row r="367" spans="1:7" x14ac:dyDescent="0.3">
      <c r="A367" s="87"/>
      <c r="B367" s="87"/>
      <c r="C367" s="87"/>
      <c r="D367" s="87"/>
      <c r="E367" s="87"/>
      <c r="F367" s="87"/>
      <c r="G367" s="87"/>
    </row>
    <row r="368" spans="1:7" x14ac:dyDescent="0.3">
      <c r="A368" s="87"/>
      <c r="B368" s="87"/>
      <c r="C368" s="87"/>
      <c r="D368" s="87"/>
      <c r="E368" s="87"/>
      <c r="F368" s="87"/>
      <c r="G368" s="87"/>
    </row>
    <row r="369" spans="1:7" x14ac:dyDescent="0.3">
      <c r="A369" s="87"/>
      <c r="B369" s="87"/>
      <c r="C369" s="87"/>
      <c r="D369" s="87"/>
      <c r="E369" s="87"/>
      <c r="F369" s="87"/>
      <c r="G369" s="87"/>
    </row>
    <row r="370" spans="1:7" x14ac:dyDescent="0.3">
      <c r="A370" s="87"/>
      <c r="B370" s="87"/>
      <c r="C370" s="87"/>
      <c r="D370" s="87"/>
      <c r="E370" s="87"/>
      <c r="F370" s="87"/>
      <c r="G370" s="87"/>
    </row>
    <row r="371" spans="1:7" x14ac:dyDescent="0.3">
      <c r="A371" s="87"/>
      <c r="B371" s="87"/>
      <c r="C371" s="87"/>
      <c r="D371" s="87"/>
      <c r="E371" s="87"/>
      <c r="F371" s="87"/>
      <c r="G371" s="87"/>
    </row>
    <row r="372" spans="1:7" x14ac:dyDescent="0.3">
      <c r="A372" s="87"/>
      <c r="B372" s="87"/>
      <c r="C372" s="87"/>
      <c r="D372" s="87"/>
      <c r="E372" s="87"/>
      <c r="F372" s="87"/>
      <c r="G372" s="87"/>
    </row>
    <row r="373" spans="1:7" x14ac:dyDescent="0.3">
      <c r="A373" s="87"/>
      <c r="B373" s="87"/>
      <c r="C373" s="87"/>
      <c r="D373" s="87"/>
      <c r="E373" s="87"/>
      <c r="F373" s="87"/>
      <c r="G373" s="87"/>
    </row>
    <row r="374" spans="1:7" x14ac:dyDescent="0.3">
      <c r="A374" s="87"/>
      <c r="B374" s="87"/>
      <c r="C374" s="87"/>
      <c r="D374" s="87"/>
      <c r="E374" s="87"/>
      <c r="F374" s="87"/>
      <c r="G374" s="87"/>
    </row>
    <row r="375" spans="1:7" x14ac:dyDescent="0.3">
      <c r="A375" s="87"/>
      <c r="B375" s="87"/>
      <c r="C375" s="87"/>
      <c r="D375" s="87"/>
      <c r="E375" s="87"/>
      <c r="F375" s="87"/>
      <c r="G375" s="87"/>
    </row>
    <row r="376" spans="1:7" x14ac:dyDescent="0.3">
      <c r="A376" s="87"/>
      <c r="B376" s="87"/>
      <c r="C376" s="87"/>
      <c r="D376" s="87"/>
      <c r="E376" s="87"/>
      <c r="F376" s="87"/>
      <c r="G376" s="87"/>
    </row>
    <row r="377" spans="1:7" x14ac:dyDescent="0.3">
      <c r="A377" s="87"/>
      <c r="B377" s="87"/>
      <c r="C377" s="87"/>
      <c r="D377" s="87"/>
      <c r="E377" s="87"/>
      <c r="F377" s="87"/>
      <c r="G377" s="87"/>
    </row>
    <row r="378" spans="1:7" x14ac:dyDescent="0.3">
      <c r="A378" s="87"/>
      <c r="B378" s="87"/>
      <c r="C378" s="87"/>
      <c r="D378" s="87"/>
      <c r="E378" s="87"/>
      <c r="F378" s="87"/>
      <c r="G378" s="87"/>
    </row>
    <row r="379" spans="1:7" x14ac:dyDescent="0.3">
      <c r="A379" s="87"/>
      <c r="B379" s="87"/>
      <c r="C379" s="87"/>
      <c r="D379" s="87"/>
      <c r="E379" s="87"/>
      <c r="F379" s="87"/>
      <c r="G379" s="87"/>
    </row>
    <row r="380" spans="1:7" x14ac:dyDescent="0.3">
      <c r="A380" s="87"/>
      <c r="B380" s="87"/>
      <c r="C380" s="87"/>
      <c r="D380" s="87"/>
      <c r="E380" s="87"/>
      <c r="F380" s="87"/>
      <c r="G380" s="87"/>
    </row>
    <row r="381" spans="1:7" x14ac:dyDescent="0.3">
      <c r="A381" s="87"/>
      <c r="B381" s="87"/>
      <c r="C381" s="87"/>
      <c r="D381" s="87"/>
      <c r="E381" s="87"/>
      <c r="F381" s="87"/>
      <c r="G381" s="87"/>
    </row>
    <row r="382" spans="1:7" x14ac:dyDescent="0.3">
      <c r="A382" s="87"/>
      <c r="B382" s="87"/>
      <c r="C382" s="87"/>
      <c r="D382" s="87"/>
      <c r="E382" s="87"/>
      <c r="F382" s="87"/>
      <c r="G382" s="87"/>
    </row>
    <row r="383" spans="1:7" x14ac:dyDescent="0.3">
      <c r="A383" s="87"/>
      <c r="B383" s="87"/>
      <c r="C383" s="87"/>
      <c r="D383" s="87"/>
      <c r="E383" s="87"/>
      <c r="F383" s="87"/>
      <c r="G383" s="87"/>
    </row>
    <row r="384" spans="1:7" x14ac:dyDescent="0.3">
      <c r="A384" s="87"/>
      <c r="B384" s="87"/>
      <c r="C384" s="87"/>
      <c r="D384" s="87"/>
      <c r="E384" s="87"/>
      <c r="F384" s="87"/>
      <c r="G384" s="87"/>
    </row>
    <row r="385" spans="1:7" x14ac:dyDescent="0.3">
      <c r="A385" s="87"/>
      <c r="B385" s="87"/>
      <c r="C385" s="87"/>
      <c r="D385" s="87"/>
      <c r="E385" s="87"/>
      <c r="F385" s="87"/>
      <c r="G385" s="87"/>
    </row>
    <row r="386" spans="1:7" x14ac:dyDescent="0.3">
      <c r="A386" s="87"/>
      <c r="B386" s="87"/>
      <c r="C386" s="87"/>
      <c r="D386" s="87"/>
      <c r="E386" s="87"/>
      <c r="F386" s="87"/>
      <c r="G386" s="87"/>
    </row>
    <row r="387" spans="1:7" x14ac:dyDescent="0.3">
      <c r="A387" s="87"/>
      <c r="B387" s="87"/>
      <c r="C387" s="87"/>
      <c r="D387" s="87"/>
      <c r="E387" s="87"/>
      <c r="F387" s="87"/>
      <c r="G387" s="87"/>
    </row>
    <row r="388" spans="1:7" x14ac:dyDescent="0.3">
      <c r="A388" s="87"/>
      <c r="B388" s="87"/>
      <c r="C388" s="87"/>
      <c r="D388" s="87"/>
      <c r="E388" s="87"/>
      <c r="F388" s="87"/>
      <c r="G388" s="87"/>
    </row>
    <row r="389" spans="1:7" x14ac:dyDescent="0.3">
      <c r="A389" s="87"/>
      <c r="B389" s="87"/>
      <c r="C389" s="87"/>
      <c r="D389" s="87"/>
      <c r="E389" s="87"/>
      <c r="F389" s="87"/>
      <c r="G389" s="87"/>
    </row>
    <row r="390" spans="1:7" x14ac:dyDescent="0.3">
      <c r="A390" s="87"/>
      <c r="B390" s="87"/>
      <c r="C390" s="87"/>
      <c r="D390" s="87"/>
      <c r="E390" s="87"/>
      <c r="F390" s="87"/>
      <c r="G390" s="87"/>
    </row>
    <row r="391" spans="1:7" x14ac:dyDescent="0.3">
      <c r="A391" s="87"/>
      <c r="B391" s="87"/>
      <c r="C391" s="87"/>
      <c r="D391" s="87"/>
      <c r="E391" s="87"/>
      <c r="F391" s="87"/>
      <c r="G391" s="87"/>
    </row>
    <row r="392" spans="1:7" x14ac:dyDescent="0.3">
      <c r="A392" s="87"/>
      <c r="B392" s="87"/>
      <c r="C392" s="87"/>
      <c r="D392" s="87"/>
      <c r="E392" s="87"/>
      <c r="F392" s="87"/>
      <c r="G392" s="87"/>
    </row>
    <row r="393" spans="1:7" x14ac:dyDescent="0.3">
      <c r="A393" s="87"/>
      <c r="B393" s="87"/>
      <c r="C393" s="87"/>
      <c r="D393" s="87"/>
      <c r="E393" s="87"/>
      <c r="F393" s="87"/>
      <c r="G393" s="87"/>
    </row>
    <row r="394" spans="1:7" x14ac:dyDescent="0.3">
      <c r="A394" s="87"/>
      <c r="B394" s="87"/>
      <c r="C394" s="87"/>
      <c r="D394" s="87"/>
      <c r="E394" s="87"/>
      <c r="F394" s="87"/>
      <c r="G394" s="87"/>
    </row>
    <row r="395" spans="1:7" x14ac:dyDescent="0.3">
      <c r="A395" s="87"/>
      <c r="B395" s="87"/>
      <c r="C395" s="87"/>
      <c r="D395" s="87"/>
      <c r="E395" s="87"/>
      <c r="F395" s="87"/>
      <c r="G395" s="87"/>
    </row>
    <row r="396" spans="1:7" x14ac:dyDescent="0.3">
      <c r="A396" s="87"/>
      <c r="B396" s="87"/>
      <c r="C396" s="87"/>
      <c r="D396" s="87"/>
      <c r="E396" s="87"/>
      <c r="F396" s="87"/>
      <c r="G396" s="87"/>
    </row>
    <row r="397" spans="1:7" x14ac:dyDescent="0.3">
      <c r="A397" s="87"/>
      <c r="B397" s="87"/>
      <c r="C397" s="87"/>
      <c r="D397" s="87"/>
      <c r="E397" s="87"/>
      <c r="F397" s="87"/>
      <c r="G397" s="87"/>
    </row>
    <row r="398" spans="1:7" x14ac:dyDescent="0.3">
      <c r="A398" s="87"/>
      <c r="B398" s="87"/>
      <c r="C398" s="87"/>
      <c r="D398" s="87"/>
      <c r="E398" s="87"/>
      <c r="F398" s="87"/>
      <c r="G398" s="87"/>
    </row>
    <row r="399" spans="1:7" x14ac:dyDescent="0.3">
      <c r="A399" s="87"/>
      <c r="B399" s="87"/>
      <c r="C399" s="87"/>
      <c r="D399" s="87"/>
      <c r="E399" s="87"/>
      <c r="F399" s="87"/>
      <c r="G399" s="87"/>
    </row>
    <row r="400" spans="1:7" x14ac:dyDescent="0.3">
      <c r="A400" s="87"/>
      <c r="B400" s="87"/>
      <c r="C400" s="87"/>
      <c r="D400" s="87"/>
      <c r="E400" s="87"/>
      <c r="F400" s="87"/>
      <c r="G400" s="87"/>
    </row>
    <row r="401" spans="1:7" x14ac:dyDescent="0.3">
      <c r="A401" s="87"/>
      <c r="B401" s="87"/>
      <c r="C401" s="87"/>
      <c r="D401" s="87"/>
      <c r="E401" s="87"/>
      <c r="F401" s="87"/>
      <c r="G401" s="87"/>
    </row>
    <row r="402" spans="1:7" x14ac:dyDescent="0.3">
      <c r="A402" s="87"/>
      <c r="B402" s="87"/>
      <c r="C402" s="87"/>
      <c r="D402" s="87"/>
      <c r="E402" s="87"/>
      <c r="F402" s="87"/>
      <c r="G402" s="87"/>
    </row>
    <row r="403" spans="1:7" x14ac:dyDescent="0.3">
      <c r="A403" s="87"/>
      <c r="B403" s="87"/>
      <c r="C403" s="87"/>
      <c r="D403" s="87"/>
      <c r="E403" s="87"/>
      <c r="F403" s="87"/>
      <c r="G403" s="87"/>
    </row>
    <row r="404" spans="1:7" x14ac:dyDescent="0.3">
      <c r="A404" s="87"/>
      <c r="B404" s="87"/>
      <c r="C404" s="87"/>
      <c r="D404" s="87"/>
      <c r="E404" s="87"/>
      <c r="F404" s="87"/>
      <c r="G404" s="87"/>
    </row>
    <row r="405" spans="1:7" x14ac:dyDescent="0.3">
      <c r="A405" s="87"/>
      <c r="B405" s="87"/>
      <c r="C405" s="87"/>
      <c r="D405" s="87"/>
      <c r="E405" s="87"/>
      <c r="F405" s="87"/>
      <c r="G405" s="87"/>
    </row>
    <row r="406" spans="1:7" x14ac:dyDescent="0.3">
      <c r="A406" s="87"/>
      <c r="B406" s="87"/>
      <c r="C406" s="87"/>
      <c r="D406" s="87"/>
      <c r="E406" s="87"/>
      <c r="F406" s="87"/>
      <c r="G406" s="87"/>
    </row>
    <row r="407" spans="1:7" x14ac:dyDescent="0.3">
      <c r="A407" s="87"/>
      <c r="B407" s="87"/>
      <c r="C407" s="87"/>
      <c r="D407" s="87"/>
      <c r="E407" s="87"/>
      <c r="F407" s="87"/>
      <c r="G407" s="87"/>
    </row>
    <row r="408" spans="1:7" x14ac:dyDescent="0.3">
      <c r="A408" s="87"/>
      <c r="B408" s="87"/>
      <c r="C408" s="87"/>
      <c r="D408" s="87"/>
      <c r="E408" s="87"/>
      <c r="F408" s="87"/>
      <c r="G408" s="87"/>
    </row>
    <row r="409" spans="1:7" x14ac:dyDescent="0.3">
      <c r="A409" s="87"/>
      <c r="B409" s="87"/>
      <c r="C409" s="87"/>
      <c r="D409" s="87"/>
      <c r="E409" s="87"/>
      <c r="F409" s="87"/>
      <c r="G409" s="87"/>
    </row>
    <row r="410" spans="1:7" x14ac:dyDescent="0.3">
      <c r="A410" s="87"/>
      <c r="B410" s="87"/>
      <c r="C410" s="87"/>
      <c r="D410" s="87"/>
      <c r="E410" s="87"/>
      <c r="F410" s="87"/>
      <c r="G410" s="87"/>
    </row>
    <row r="411" spans="1:7" x14ac:dyDescent="0.3">
      <c r="A411" s="87"/>
      <c r="B411" s="87"/>
      <c r="C411" s="87"/>
      <c r="D411" s="87"/>
      <c r="E411" s="87"/>
      <c r="F411" s="87"/>
      <c r="G411" s="87"/>
    </row>
    <row r="412" spans="1:7" x14ac:dyDescent="0.3">
      <c r="A412" s="87"/>
      <c r="B412" s="87"/>
      <c r="C412" s="87"/>
      <c r="D412" s="87"/>
      <c r="E412" s="87"/>
      <c r="F412" s="87"/>
      <c r="G412" s="87"/>
    </row>
    <row r="413" spans="1:7" x14ac:dyDescent="0.3">
      <c r="A413" s="87"/>
      <c r="B413" s="87"/>
      <c r="C413" s="87"/>
      <c r="D413" s="87"/>
      <c r="E413" s="87"/>
      <c r="F413" s="87"/>
      <c r="G413" s="87"/>
    </row>
    <row r="414" spans="1:7" x14ac:dyDescent="0.3">
      <c r="A414" s="87"/>
      <c r="B414" s="87"/>
      <c r="C414" s="87"/>
      <c r="D414" s="87"/>
      <c r="E414" s="87"/>
      <c r="F414" s="87"/>
      <c r="G414" s="87"/>
    </row>
    <row r="415" spans="1:7" x14ac:dyDescent="0.3">
      <c r="A415" s="87"/>
      <c r="B415" s="87"/>
      <c r="C415" s="87"/>
      <c r="D415" s="87"/>
      <c r="E415" s="87"/>
      <c r="F415" s="87"/>
      <c r="G415" s="87"/>
    </row>
    <row r="416" spans="1:7" x14ac:dyDescent="0.3">
      <c r="A416" s="87"/>
      <c r="B416" s="87"/>
      <c r="C416" s="87"/>
      <c r="D416" s="87"/>
      <c r="E416" s="87"/>
      <c r="F416" s="87"/>
      <c r="G416" s="87"/>
    </row>
    <row r="417" spans="1:7" x14ac:dyDescent="0.3">
      <c r="A417" s="87"/>
      <c r="B417" s="87"/>
      <c r="C417" s="87"/>
      <c r="D417" s="87"/>
      <c r="E417" s="87"/>
      <c r="F417" s="87"/>
      <c r="G417" s="87"/>
    </row>
    <row r="418" spans="1:7" x14ac:dyDescent="0.3">
      <c r="A418" s="87"/>
      <c r="B418" s="87"/>
      <c r="C418" s="87"/>
      <c r="D418" s="87"/>
      <c r="E418" s="87"/>
      <c r="F418" s="87"/>
      <c r="G418" s="87"/>
    </row>
    <row r="419" spans="1:7" x14ac:dyDescent="0.3">
      <c r="A419" s="87"/>
      <c r="B419" s="87"/>
      <c r="C419" s="87"/>
      <c r="D419" s="87"/>
      <c r="E419" s="87"/>
      <c r="F419" s="87"/>
      <c r="G419" s="87"/>
    </row>
    <row r="420" spans="1:7" x14ac:dyDescent="0.3">
      <c r="A420" s="87"/>
      <c r="B420" s="87"/>
      <c r="C420" s="87"/>
      <c r="D420" s="87"/>
      <c r="E420" s="87"/>
      <c r="F420" s="87"/>
      <c r="G420" s="87"/>
    </row>
    <row r="421" spans="1:7" x14ac:dyDescent="0.3">
      <c r="A421" s="87"/>
      <c r="B421" s="87"/>
      <c r="C421" s="87"/>
      <c r="D421" s="87"/>
      <c r="E421" s="87"/>
      <c r="F421" s="87"/>
      <c r="G421" s="87"/>
    </row>
    <row r="422" spans="1:7" x14ac:dyDescent="0.3">
      <c r="A422" s="87"/>
      <c r="B422" s="87"/>
      <c r="C422" s="87"/>
      <c r="D422" s="87"/>
      <c r="E422" s="87"/>
      <c r="F422" s="87"/>
      <c r="G422" s="87"/>
    </row>
    <row r="423" spans="1:7" x14ac:dyDescent="0.3">
      <c r="A423" s="87"/>
      <c r="B423" s="87"/>
      <c r="C423" s="87"/>
      <c r="D423" s="87"/>
      <c r="E423" s="87"/>
      <c r="F423" s="87"/>
      <c r="G423" s="87"/>
    </row>
    <row r="424" spans="1:7" x14ac:dyDescent="0.3">
      <c r="A424" s="87"/>
      <c r="B424" s="87"/>
      <c r="C424" s="87"/>
      <c r="D424" s="87"/>
      <c r="E424" s="87"/>
      <c r="F424" s="87"/>
      <c r="G424" s="87"/>
    </row>
    <row r="425" spans="1:7" x14ac:dyDescent="0.3">
      <c r="A425" s="87"/>
      <c r="B425" s="87"/>
      <c r="C425" s="87"/>
      <c r="D425" s="87"/>
      <c r="E425" s="87"/>
      <c r="F425" s="87"/>
      <c r="G425" s="87"/>
    </row>
    <row r="426" spans="1:7" x14ac:dyDescent="0.3">
      <c r="A426" s="87"/>
      <c r="B426" s="87"/>
      <c r="C426" s="87"/>
      <c r="D426" s="87"/>
      <c r="E426" s="87"/>
      <c r="F426" s="87"/>
      <c r="G426" s="87"/>
    </row>
    <row r="427" spans="1:7" x14ac:dyDescent="0.3">
      <c r="A427" s="87"/>
      <c r="B427" s="87"/>
      <c r="C427" s="87"/>
      <c r="D427" s="87"/>
      <c r="E427" s="87"/>
      <c r="F427" s="87"/>
      <c r="G427" s="87"/>
    </row>
    <row r="428" spans="1:7" x14ac:dyDescent="0.3">
      <c r="A428" s="87"/>
      <c r="B428" s="87"/>
      <c r="C428" s="87"/>
      <c r="D428" s="87"/>
      <c r="E428" s="87"/>
      <c r="F428" s="87"/>
      <c r="G428" s="87"/>
    </row>
    <row r="429" spans="1:7" x14ac:dyDescent="0.3">
      <c r="A429" s="87"/>
      <c r="B429" s="87"/>
      <c r="C429" s="87"/>
      <c r="D429" s="87"/>
      <c r="E429" s="87"/>
      <c r="F429" s="87"/>
      <c r="G429" s="87"/>
    </row>
    <row r="430" spans="1:7" x14ac:dyDescent="0.3">
      <c r="A430" s="87"/>
      <c r="B430" s="87"/>
      <c r="C430" s="87"/>
      <c r="D430" s="87"/>
      <c r="E430" s="87"/>
      <c r="F430" s="87"/>
      <c r="G430" s="87"/>
    </row>
    <row r="431" spans="1:7" x14ac:dyDescent="0.3">
      <c r="A431" s="87"/>
      <c r="B431" s="87"/>
      <c r="C431" s="87"/>
      <c r="D431" s="87"/>
      <c r="E431" s="87"/>
      <c r="F431" s="87"/>
      <c r="G431" s="87"/>
    </row>
    <row r="432" spans="1:7" x14ac:dyDescent="0.3">
      <c r="A432" s="87"/>
      <c r="B432" s="87"/>
      <c r="C432" s="87"/>
      <c r="D432" s="87"/>
      <c r="E432" s="87"/>
      <c r="F432" s="87"/>
      <c r="G432" s="87"/>
    </row>
    <row r="433" spans="1:7" x14ac:dyDescent="0.3">
      <c r="A433" s="87"/>
      <c r="B433" s="87"/>
      <c r="C433" s="87"/>
      <c r="D433" s="87"/>
      <c r="E433" s="87"/>
      <c r="F433" s="87"/>
      <c r="G433" s="87"/>
    </row>
    <row r="434" spans="1:7" x14ac:dyDescent="0.3">
      <c r="A434" s="87"/>
      <c r="B434" s="87"/>
      <c r="C434" s="87"/>
      <c r="D434" s="87"/>
      <c r="E434" s="87"/>
      <c r="F434" s="87"/>
      <c r="G434" s="87"/>
    </row>
    <row r="435" spans="1:7" x14ac:dyDescent="0.3">
      <c r="A435" s="87"/>
      <c r="B435" s="87"/>
      <c r="C435" s="87"/>
      <c r="D435" s="87"/>
      <c r="E435" s="87"/>
      <c r="F435" s="87"/>
      <c r="G435" s="87"/>
    </row>
    <row r="436" spans="1:7" x14ac:dyDescent="0.3">
      <c r="A436" s="87"/>
      <c r="B436" s="87"/>
      <c r="C436" s="87"/>
      <c r="D436" s="87"/>
      <c r="E436" s="87"/>
      <c r="F436" s="87"/>
      <c r="G436" s="87"/>
    </row>
    <row r="437" spans="1:7" x14ac:dyDescent="0.3">
      <c r="A437" s="87"/>
      <c r="B437" s="87"/>
      <c r="C437" s="87"/>
      <c r="D437" s="87"/>
      <c r="E437" s="87"/>
      <c r="F437" s="87"/>
      <c r="G437" s="87"/>
    </row>
    <row r="438" spans="1:7" x14ac:dyDescent="0.3">
      <c r="A438" s="87"/>
      <c r="B438" s="87"/>
      <c r="C438" s="87"/>
      <c r="D438" s="87"/>
      <c r="E438" s="87"/>
      <c r="F438" s="87"/>
      <c r="G438" s="87"/>
    </row>
    <row r="439" spans="1:7" x14ac:dyDescent="0.3">
      <c r="A439" s="87"/>
      <c r="B439" s="87"/>
      <c r="C439" s="87"/>
      <c r="D439" s="87"/>
      <c r="E439" s="87"/>
      <c r="F439" s="87"/>
      <c r="G439" s="87"/>
    </row>
    <row r="440" spans="1:7" x14ac:dyDescent="0.3">
      <c r="A440" s="87"/>
      <c r="B440" s="87"/>
      <c r="C440" s="87"/>
      <c r="D440" s="87"/>
      <c r="E440" s="87"/>
      <c r="F440" s="87"/>
      <c r="G440" s="87"/>
    </row>
    <row r="441" spans="1:7" x14ac:dyDescent="0.3">
      <c r="A441" s="87"/>
      <c r="B441" s="87"/>
      <c r="C441" s="87"/>
      <c r="D441" s="87"/>
      <c r="E441" s="87"/>
      <c r="F441" s="87"/>
      <c r="G441" s="87"/>
    </row>
    <row r="442" spans="1:7" x14ac:dyDescent="0.3">
      <c r="A442" s="87"/>
      <c r="B442" s="87"/>
      <c r="C442" s="87"/>
      <c r="D442" s="87"/>
      <c r="E442" s="87"/>
      <c r="F442" s="87"/>
      <c r="G442" s="87"/>
    </row>
    <row r="443" spans="1:7" x14ac:dyDescent="0.3">
      <c r="A443" s="87"/>
      <c r="B443" s="87"/>
      <c r="C443" s="87"/>
      <c r="D443" s="87"/>
      <c r="E443" s="87"/>
      <c r="F443" s="87"/>
      <c r="G443" s="87"/>
    </row>
    <row r="444" spans="1:7" x14ac:dyDescent="0.3">
      <c r="A444" s="87"/>
      <c r="B444" s="87"/>
      <c r="C444" s="87"/>
      <c r="D444" s="87"/>
      <c r="E444" s="87"/>
      <c r="F444" s="87"/>
      <c r="G444" s="87"/>
    </row>
    <row r="445" spans="1:7" x14ac:dyDescent="0.3">
      <c r="A445" s="87"/>
      <c r="B445" s="87"/>
      <c r="C445" s="87"/>
      <c r="D445" s="87"/>
      <c r="E445" s="87"/>
      <c r="F445" s="87"/>
      <c r="G445" s="87"/>
    </row>
  </sheetData>
  <sortState xmlns:xlrd2="http://schemas.microsoft.com/office/spreadsheetml/2017/richdata2" ref="A2:G144">
    <sortCondition ref="A2:A144"/>
  </sortState>
  <hyperlinks>
    <hyperlink ref="A1" r:id="rId1" display="http://wa.me/5585" xr:uid="{C74AE972-EDC6-452F-B3DC-532C24496D61}"/>
    <hyperlink ref="E1" r:id="rId2" display="http://wa.me/5585" xr:uid="{A5C20311-0EDC-4F22-ADDE-8DE870D3135B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A847C-B20C-4BDF-B5E4-89D0AA30BCA9}">
  <dimension ref="A1:AA979"/>
  <sheetViews>
    <sheetView workbookViewId="0">
      <selection activeCell="O3" sqref="O3"/>
    </sheetView>
  </sheetViews>
  <sheetFormatPr defaultColWidth="57.109375" defaultRowHeight="14.4" x14ac:dyDescent="0.3"/>
  <cols>
    <col min="1" max="1" width="12.6640625" bestFit="1" customWidth="1"/>
    <col min="2" max="2" width="10" bestFit="1" customWidth="1"/>
    <col min="3" max="3" width="10.5546875" bestFit="1" customWidth="1"/>
    <col min="4" max="4" width="10.77734375" customWidth="1"/>
    <col min="5" max="5" width="8.44140625" customWidth="1"/>
    <col min="6" max="26" width="5.77734375" customWidth="1"/>
  </cols>
  <sheetData>
    <row r="1" spans="1:27" ht="15" thickBot="1" x14ac:dyDescent="0.35">
      <c r="F1" s="111" t="s">
        <v>182</v>
      </c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3"/>
    </row>
    <row r="2" spans="1:27" ht="15" thickBot="1" x14ac:dyDescent="0.35">
      <c r="A2" s="62"/>
      <c r="B2" s="64" t="s">
        <v>173</v>
      </c>
      <c r="C2" s="63" t="s">
        <v>171</v>
      </c>
      <c r="D2" s="63" t="s">
        <v>172</v>
      </c>
      <c r="E2" s="73" t="s">
        <v>174</v>
      </c>
      <c r="F2" s="77">
        <v>31</v>
      </c>
      <c r="G2" s="78">
        <v>30</v>
      </c>
      <c r="H2" s="78">
        <v>29</v>
      </c>
      <c r="I2" s="78">
        <v>28</v>
      </c>
      <c r="J2" s="78">
        <v>27</v>
      </c>
      <c r="K2" s="78">
        <v>26</v>
      </c>
      <c r="L2" s="78">
        <v>25</v>
      </c>
      <c r="M2" s="79">
        <v>24</v>
      </c>
      <c r="N2" s="80">
        <v>23</v>
      </c>
      <c r="O2" s="78">
        <v>22</v>
      </c>
      <c r="P2" s="78">
        <v>21</v>
      </c>
      <c r="Q2" s="78">
        <v>20</v>
      </c>
      <c r="R2" s="78">
        <v>19</v>
      </c>
      <c r="S2" s="78">
        <v>18</v>
      </c>
      <c r="T2" s="78">
        <v>17</v>
      </c>
      <c r="U2" s="78">
        <v>16</v>
      </c>
      <c r="V2" s="78">
        <v>15</v>
      </c>
      <c r="W2" s="78">
        <v>14</v>
      </c>
      <c r="X2" s="78">
        <v>13</v>
      </c>
      <c r="Y2" s="78">
        <v>12</v>
      </c>
      <c r="Z2" s="81">
        <v>11</v>
      </c>
      <c r="AA2" s="74"/>
    </row>
    <row r="3" spans="1:27" ht="15" thickBot="1" x14ac:dyDescent="0.35">
      <c r="A3" s="65" t="s">
        <v>140</v>
      </c>
      <c r="B3" s="67" t="s">
        <v>175</v>
      </c>
      <c r="C3" s="66">
        <v>300</v>
      </c>
      <c r="D3" s="61">
        <v>5</v>
      </c>
      <c r="E3" s="68">
        <v>4</v>
      </c>
      <c r="F3" s="75">
        <v>155</v>
      </c>
      <c r="G3" s="75">
        <v>150</v>
      </c>
      <c r="H3" s="75">
        <v>145</v>
      </c>
      <c r="I3" s="75">
        <v>140</v>
      </c>
      <c r="J3" s="75">
        <v>135</v>
      </c>
      <c r="K3" s="75">
        <v>130</v>
      </c>
      <c r="L3" s="75">
        <v>125</v>
      </c>
      <c r="M3" s="76">
        <v>120</v>
      </c>
      <c r="N3" s="76">
        <v>115</v>
      </c>
      <c r="O3" s="75">
        <v>110</v>
      </c>
      <c r="P3" s="75">
        <v>105</v>
      </c>
      <c r="Q3" s="75">
        <v>100</v>
      </c>
      <c r="R3" s="75">
        <v>95</v>
      </c>
      <c r="S3" s="75">
        <v>90</v>
      </c>
      <c r="T3" s="75">
        <v>85</v>
      </c>
      <c r="U3" s="75">
        <v>80</v>
      </c>
      <c r="V3" s="75">
        <v>75</v>
      </c>
      <c r="W3" s="75">
        <v>70</v>
      </c>
      <c r="X3" s="75">
        <v>65</v>
      </c>
      <c r="Y3" s="75">
        <v>60</v>
      </c>
      <c r="Z3" s="75">
        <v>55</v>
      </c>
      <c r="AA3" s="59"/>
    </row>
    <row r="4" spans="1:27" ht="15" thickBot="1" x14ac:dyDescent="0.35">
      <c r="A4" s="65" t="s">
        <v>140</v>
      </c>
      <c r="B4" s="67" t="s">
        <v>176</v>
      </c>
      <c r="C4" s="66">
        <v>600</v>
      </c>
      <c r="D4" s="61">
        <v>6</v>
      </c>
      <c r="E4" s="68">
        <v>6</v>
      </c>
      <c r="F4" s="61">
        <v>186</v>
      </c>
      <c r="G4" s="61">
        <v>180</v>
      </c>
      <c r="H4" s="61">
        <v>174</v>
      </c>
      <c r="I4" s="61">
        <v>168</v>
      </c>
      <c r="J4" s="61">
        <v>162</v>
      </c>
      <c r="K4" s="61">
        <v>156</v>
      </c>
      <c r="L4" s="61">
        <v>150</v>
      </c>
      <c r="M4" s="69">
        <v>144</v>
      </c>
      <c r="N4" s="69">
        <v>138</v>
      </c>
      <c r="O4" s="61">
        <v>132</v>
      </c>
      <c r="P4" s="61">
        <v>126</v>
      </c>
      <c r="Q4" s="61">
        <v>120</v>
      </c>
      <c r="R4" s="61">
        <v>114</v>
      </c>
      <c r="S4" s="61">
        <v>108</v>
      </c>
      <c r="T4" s="61">
        <v>102</v>
      </c>
      <c r="U4" s="61">
        <v>96</v>
      </c>
      <c r="V4" s="61">
        <v>90</v>
      </c>
      <c r="W4" s="61">
        <v>84</v>
      </c>
      <c r="X4" s="61">
        <v>78</v>
      </c>
      <c r="Y4" s="61">
        <v>72</v>
      </c>
      <c r="Z4" s="61">
        <v>66</v>
      </c>
      <c r="AA4" s="59"/>
    </row>
    <row r="5" spans="1:27" ht="15" thickBot="1" x14ac:dyDescent="0.35">
      <c r="A5" s="65" t="s">
        <v>140</v>
      </c>
      <c r="B5" s="67" t="s">
        <v>177</v>
      </c>
      <c r="C5" s="66">
        <v>900</v>
      </c>
      <c r="D5" s="61">
        <v>7</v>
      </c>
      <c r="E5" s="68">
        <v>8</v>
      </c>
      <c r="F5" s="61">
        <v>217</v>
      </c>
      <c r="G5" s="61">
        <v>210</v>
      </c>
      <c r="H5" s="61">
        <v>203</v>
      </c>
      <c r="I5" s="61">
        <v>196</v>
      </c>
      <c r="J5" s="61">
        <v>189</v>
      </c>
      <c r="K5" s="61">
        <v>182</v>
      </c>
      <c r="L5" s="61">
        <v>175</v>
      </c>
      <c r="M5" s="69">
        <v>168</v>
      </c>
      <c r="N5" s="69">
        <v>161</v>
      </c>
      <c r="O5" s="61">
        <v>154</v>
      </c>
      <c r="P5" s="61">
        <v>147</v>
      </c>
      <c r="Q5" s="61">
        <v>140</v>
      </c>
      <c r="R5" s="61">
        <v>133</v>
      </c>
      <c r="S5" s="61">
        <v>126</v>
      </c>
      <c r="T5" s="61">
        <v>119</v>
      </c>
      <c r="U5" s="61">
        <v>112</v>
      </c>
      <c r="V5" s="61">
        <v>105</v>
      </c>
      <c r="W5" s="61">
        <v>98</v>
      </c>
      <c r="X5" s="61">
        <v>91</v>
      </c>
      <c r="Y5" s="61">
        <v>84</v>
      </c>
      <c r="Z5" s="61">
        <v>77</v>
      </c>
      <c r="AA5" s="59"/>
    </row>
    <row r="6" spans="1:27" ht="15" thickBot="1" x14ac:dyDescent="0.35">
      <c r="A6" s="65" t="s">
        <v>140</v>
      </c>
      <c r="B6" s="67" t="s">
        <v>178</v>
      </c>
      <c r="C6" s="66">
        <v>1200</v>
      </c>
      <c r="D6" s="61">
        <v>8</v>
      </c>
      <c r="E6" s="68">
        <v>10</v>
      </c>
      <c r="F6" s="61">
        <v>248</v>
      </c>
      <c r="G6" s="61">
        <v>240</v>
      </c>
      <c r="H6" s="61">
        <v>232</v>
      </c>
      <c r="I6" s="61">
        <v>224</v>
      </c>
      <c r="J6" s="61">
        <v>216</v>
      </c>
      <c r="K6" s="61">
        <v>208</v>
      </c>
      <c r="L6" s="61">
        <v>200</v>
      </c>
      <c r="M6" s="69">
        <v>192</v>
      </c>
      <c r="N6" s="69">
        <v>184</v>
      </c>
      <c r="O6" s="61">
        <v>176</v>
      </c>
      <c r="P6" s="61">
        <v>168</v>
      </c>
      <c r="Q6" s="61">
        <v>160</v>
      </c>
      <c r="R6" s="61">
        <v>152</v>
      </c>
      <c r="S6" s="61">
        <v>144</v>
      </c>
      <c r="T6" s="61">
        <v>136</v>
      </c>
      <c r="U6" s="61">
        <v>128</v>
      </c>
      <c r="V6" s="61">
        <v>120</v>
      </c>
      <c r="W6" s="61">
        <v>112</v>
      </c>
      <c r="X6" s="61">
        <v>104</v>
      </c>
      <c r="Y6" s="61">
        <v>96</v>
      </c>
      <c r="Z6" s="61">
        <v>88</v>
      </c>
      <c r="AA6" s="59"/>
    </row>
    <row r="7" spans="1:27" ht="15" thickBot="1" x14ac:dyDescent="0.35">
      <c r="A7" s="70" t="s">
        <v>179</v>
      </c>
      <c r="B7" s="67" t="s">
        <v>175</v>
      </c>
      <c r="C7" s="66">
        <v>300</v>
      </c>
      <c r="D7" s="61">
        <v>6</v>
      </c>
      <c r="E7" s="68">
        <v>4</v>
      </c>
      <c r="F7" s="61">
        <v>186</v>
      </c>
      <c r="G7" s="61">
        <v>180</v>
      </c>
      <c r="H7" s="61">
        <v>174</v>
      </c>
      <c r="I7" s="61">
        <v>168</v>
      </c>
      <c r="J7" s="61">
        <v>162</v>
      </c>
      <c r="K7" s="61">
        <v>156</v>
      </c>
      <c r="L7" s="61">
        <v>150</v>
      </c>
      <c r="M7" s="69">
        <v>144</v>
      </c>
      <c r="N7" s="69">
        <v>138</v>
      </c>
      <c r="O7" s="61">
        <v>132</v>
      </c>
      <c r="P7" s="61">
        <v>126</v>
      </c>
      <c r="Q7" s="61">
        <v>120</v>
      </c>
      <c r="R7" s="61">
        <v>114</v>
      </c>
      <c r="S7" s="61">
        <v>108</v>
      </c>
      <c r="T7" s="61">
        <v>102</v>
      </c>
      <c r="U7" s="61">
        <v>96</v>
      </c>
      <c r="V7" s="61">
        <v>90</v>
      </c>
      <c r="W7" s="61">
        <v>84</v>
      </c>
      <c r="X7" s="61">
        <v>78</v>
      </c>
      <c r="Y7" s="61">
        <v>72</v>
      </c>
      <c r="Z7" s="61">
        <v>66</v>
      </c>
      <c r="AA7" s="59"/>
    </row>
    <row r="8" spans="1:27" ht="15" thickBot="1" x14ac:dyDescent="0.35">
      <c r="A8" s="70" t="s">
        <v>179</v>
      </c>
      <c r="B8" s="67" t="s">
        <v>176</v>
      </c>
      <c r="C8" s="66">
        <v>600</v>
      </c>
      <c r="D8" s="61">
        <v>7</v>
      </c>
      <c r="E8" s="68">
        <v>6</v>
      </c>
      <c r="F8" s="61">
        <v>217</v>
      </c>
      <c r="G8" s="61">
        <v>210</v>
      </c>
      <c r="H8" s="61">
        <v>203</v>
      </c>
      <c r="I8" s="61">
        <v>196</v>
      </c>
      <c r="J8" s="61">
        <v>189</v>
      </c>
      <c r="K8" s="61">
        <v>182</v>
      </c>
      <c r="L8" s="61">
        <v>175</v>
      </c>
      <c r="M8" s="69">
        <v>168</v>
      </c>
      <c r="N8" s="69">
        <v>161</v>
      </c>
      <c r="O8" s="61">
        <v>154</v>
      </c>
      <c r="P8" s="61">
        <v>147</v>
      </c>
      <c r="Q8" s="61">
        <v>140</v>
      </c>
      <c r="R8" s="61">
        <v>133</v>
      </c>
      <c r="S8" s="61">
        <v>126</v>
      </c>
      <c r="T8" s="61">
        <v>119</v>
      </c>
      <c r="U8" s="61">
        <v>112</v>
      </c>
      <c r="V8" s="61">
        <v>105</v>
      </c>
      <c r="W8" s="61">
        <v>98</v>
      </c>
      <c r="X8" s="61">
        <v>91</v>
      </c>
      <c r="Y8" s="61">
        <v>84</v>
      </c>
      <c r="Z8" s="61">
        <v>77</v>
      </c>
      <c r="AA8" s="59"/>
    </row>
    <row r="9" spans="1:27" ht="15" thickBot="1" x14ac:dyDescent="0.35">
      <c r="A9" s="70" t="s">
        <v>179</v>
      </c>
      <c r="B9" s="67" t="s">
        <v>177</v>
      </c>
      <c r="C9" s="66">
        <v>900</v>
      </c>
      <c r="D9" s="61">
        <v>8</v>
      </c>
      <c r="E9" s="68">
        <v>8</v>
      </c>
      <c r="F9" s="61">
        <v>248</v>
      </c>
      <c r="G9" s="61">
        <v>240</v>
      </c>
      <c r="H9" s="61">
        <v>232</v>
      </c>
      <c r="I9" s="61">
        <v>224</v>
      </c>
      <c r="J9" s="61">
        <v>216</v>
      </c>
      <c r="K9" s="61">
        <v>208</v>
      </c>
      <c r="L9" s="61">
        <v>200</v>
      </c>
      <c r="M9" s="69">
        <v>192</v>
      </c>
      <c r="N9" s="69">
        <v>184</v>
      </c>
      <c r="O9" s="61">
        <v>176</v>
      </c>
      <c r="P9" s="61">
        <v>168</v>
      </c>
      <c r="Q9" s="61">
        <v>160</v>
      </c>
      <c r="R9" s="61">
        <v>152</v>
      </c>
      <c r="S9" s="61">
        <v>144</v>
      </c>
      <c r="T9" s="61">
        <v>136</v>
      </c>
      <c r="U9" s="61">
        <v>128</v>
      </c>
      <c r="V9" s="61">
        <v>120</v>
      </c>
      <c r="W9" s="61">
        <v>112</v>
      </c>
      <c r="X9" s="61">
        <v>104</v>
      </c>
      <c r="Y9" s="61">
        <v>96</v>
      </c>
      <c r="Z9" s="61">
        <v>88</v>
      </c>
      <c r="AA9" s="59"/>
    </row>
    <row r="10" spans="1:27" ht="15" thickBot="1" x14ac:dyDescent="0.35">
      <c r="A10" s="70" t="s">
        <v>179</v>
      </c>
      <c r="B10" s="67" t="s">
        <v>178</v>
      </c>
      <c r="C10" s="66">
        <v>1200</v>
      </c>
      <c r="D10" s="61">
        <v>9</v>
      </c>
      <c r="E10" s="68">
        <v>10</v>
      </c>
      <c r="F10" s="61">
        <v>279</v>
      </c>
      <c r="G10" s="61">
        <v>270</v>
      </c>
      <c r="H10" s="61">
        <v>261</v>
      </c>
      <c r="I10" s="61">
        <v>252</v>
      </c>
      <c r="J10" s="61">
        <v>243</v>
      </c>
      <c r="K10" s="61">
        <v>234</v>
      </c>
      <c r="L10" s="61">
        <v>225</v>
      </c>
      <c r="M10" s="69">
        <v>216</v>
      </c>
      <c r="N10" s="69">
        <v>207</v>
      </c>
      <c r="O10" s="61">
        <v>198</v>
      </c>
      <c r="P10" s="61">
        <v>189</v>
      </c>
      <c r="Q10" s="61">
        <v>180</v>
      </c>
      <c r="R10" s="61">
        <v>171</v>
      </c>
      <c r="S10" s="61">
        <v>162</v>
      </c>
      <c r="T10" s="61">
        <v>153</v>
      </c>
      <c r="U10" s="61">
        <v>144</v>
      </c>
      <c r="V10" s="61">
        <v>135</v>
      </c>
      <c r="W10" s="61">
        <v>126</v>
      </c>
      <c r="X10" s="61">
        <v>117</v>
      </c>
      <c r="Y10" s="61">
        <v>108</v>
      </c>
      <c r="Z10" s="61">
        <v>99</v>
      </c>
      <c r="AA10" s="59"/>
    </row>
    <row r="11" spans="1:27" ht="15" thickBot="1" x14ac:dyDescent="0.35">
      <c r="A11" s="65" t="s">
        <v>142</v>
      </c>
      <c r="B11" s="67" t="s">
        <v>175</v>
      </c>
      <c r="C11" s="66">
        <v>600</v>
      </c>
      <c r="D11" s="61">
        <v>3.5</v>
      </c>
      <c r="E11" s="68">
        <v>4</v>
      </c>
      <c r="F11" s="61">
        <v>108.5</v>
      </c>
      <c r="G11" s="61">
        <v>105</v>
      </c>
      <c r="H11" s="61">
        <v>101.5</v>
      </c>
      <c r="I11" s="61">
        <v>98</v>
      </c>
      <c r="J11" s="61">
        <v>94.5</v>
      </c>
      <c r="K11" s="61">
        <v>91</v>
      </c>
      <c r="L11" s="61">
        <v>87.5</v>
      </c>
      <c r="M11" s="69">
        <v>84</v>
      </c>
      <c r="N11" s="69">
        <v>80.5</v>
      </c>
      <c r="O11" s="61">
        <v>77</v>
      </c>
      <c r="P11" s="61">
        <v>73.5</v>
      </c>
      <c r="Q11" s="61">
        <v>70</v>
      </c>
      <c r="R11" s="61">
        <v>66.5</v>
      </c>
      <c r="S11" s="61">
        <v>63</v>
      </c>
      <c r="T11" s="61">
        <v>59.5</v>
      </c>
      <c r="U11" s="61">
        <v>56</v>
      </c>
      <c r="V11" s="61">
        <v>52.5</v>
      </c>
      <c r="W11" s="61">
        <v>49</v>
      </c>
      <c r="X11" s="61">
        <v>45.5</v>
      </c>
      <c r="Y11" s="61">
        <v>42</v>
      </c>
      <c r="Z11" s="61">
        <v>38.5</v>
      </c>
      <c r="AA11" s="59"/>
    </row>
    <row r="12" spans="1:27" ht="15" thickBot="1" x14ac:dyDescent="0.35">
      <c r="A12" s="65" t="s">
        <v>142</v>
      </c>
      <c r="B12" s="67" t="s">
        <v>176</v>
      </c>
      <c r="C12" s="66">
        <v>900</v>
      </c>
      <c r="D12" s="61">
        <v>4.5</v>
      </c>
      <c r="E12" s="68">
        <v>6</v>
      </c>
      <c r="F12" s="61">
        <v>139.5</v>
      </c>
      <c r="G12" s="61">
        <v>135</v>
      </c>
      <c r="H12" s="61">
        <v>130.5</v>
      </c>
      <c r="I12" s="61">
        <v>126</v>
      </c>
      <c r="J12" s="61">
        <v>121.5</v>
      </c>
      <c r="K12" s="61">
        <v>117</v>
      </c>
      <c r="L12" s="61">
        <v>112.5</v>
      </c>
      <c r="M12" s="69">
        <v>108</v>
      </c>
      <c r="N12" s="69">
        <v>103.5</v>
      </c>
      <c r="O12" s="61">
        <v>99</v>
      </c>
      <c r="P12" s="61">
        <v>94.5</v>
      </c>
      <c r="Q12" s="61">
        <v>90</v>
      </c>
      <c r="R12" s="61">
        <v>85.5</v>
      </c>
      <c r="S12" s="61">
        <v>81</v>
      </c>
      <c r="T12" s="61">
        <v>76.5</v>
      </c>
      <c r="U12" s="61">
        <v>72</v>
      </c>
      <c r="V12" s="61">
        <v>67.5</v>
      </c>
      <c r="W12" s="61">
        <v>63</v>
      </c>
      <c r="X12" s="61">
        <v>58.5</v>
      </c>
      <c r="Y12" s="61">
        <v>54</v>
      </c>
      <c r="Z12" s="61">
        <v>49.5</v>
      </c>
      <c r="AA12" s="59"/>
    </row>
    <row r="13" spans="1:27" ht="15" thickBot="1" x14ac:dyDescent="0.35">
      <c r="A13" s="65" t="s">
        <v>142</v>
      </c>
      <c r="B13" s="67" t="s">
        <v>177</v>
      </c>
      <c r="C13" s="66">
        <v>1200</v>
      </c>
      <c r="D13" s="61">
        <v>5.5</v>
      </c>
      <c r="E13" s="68">
        <v>8</v>
      </c>
      <c r="F13" s="61">
        <v>170.5</v>
      </c>
      <c r="G13" s="61">
        <v>165</v>
      </c>
      <c r="H13" s="61">
        <v>159.5</v>
      </c>
      <c r="I13" s="61">
        <v>154</v>
      </c>
      <c r="J13" s="61">
        <v>148.5</v>
      </c>
      <c r="K13" s="61">
        <v>143</v>
      </c>
      <c r="L13" s="61">
        <v>137.5</v>
      </c>
      <c r="M13" s="69">
        <v>132</v>
      </c>
      <c r="N13" s="69">
        <v>126.5</v>
      </c>
      <c r="O13" s="61">
        <v>121</v>
      </c>
      <c r="P13" s="61">
        <v>115.5</v>
      </c>
      <c r="Q13" s="61">
        <v>110</v>
      </c>
      <c r="R13" s="61">
        <v>104.5</v>
      </c>
      <c r="S13" s="61">
        <v>99</v>
      </c>
      <c r="T13" s="61">
        <v>93.5</v>
      </c>
      <c r="U13" s="61">
        <v>88</v>
      </c>
      <c r="V13" s="61">
        <v>82.5</v>
      </c>
      <c r="W13" s="61">
        <v>77</v>
      </c>
      <c r="X13" s="61">
        <v>71.5</v>
      </c>
      <c r="Y13" s="61">
        <v>66</v>
      </c>
      <c r="Z13" s="61">
        <v>60.5</v>
      </c>
      <c r="AA13" s="59"/>
    </row>
    <row r="14" spans="1:27" ht="15" thickBot="1" x14ac:dyDescent="0.35">
      <c r="A14" s="65" t="s">
        <v>142</v>
      </c>
      <c r="B14" s="67" t="s">
        <v>178</v>
      </c>
      <c r="C14" s="66">
        <v>1500</v>
      </c>
      <c r="D14" s="61">
        <v>6.5</v>
      </c>
      <c r="E14" s="68">
        <v>10</v>
      </c>
      <c r="F14" s="61">
        <v>201.5</v>
      </c>
      <c r="G14" s="61">
        <v>195</v>
      </c>
      <c r="H14" s="61">
        <v>188.5</v>
      </c>
      <c r="I14" s="61">
        <v>182</v>
      </c>
      <c r="J14" s="61">
        <v>175.5</v>
      </c>
      <c r="K14" s="61">
        <v>169</v>
      </c>
      <c r="L14" s="61">
        <v>162.5</v>
      </c>
      <c r="M14" s="69">
        <v>156</v>
      </c>
      <c r="N14" s="71">
        <v>149.5</v>
      </c>
      <c r="O14" s="61">
        <v>143</v>
      </c>
      <c r="P14" s="61">
        <v>136.5</v>
      </c>
      <c r="Q14" s="61">
        <v>130</v>
      </c>
      <c r="R14" s="61">
        <v>123.5</v>
      </c>
      <c r="S14" s="61">
        <v>117</v>
      </c>
      <c r="T14" s="61">
        <v>110.5</v>
      </c>
      <c r="U14" s="61">
        <v>104</v>
      </c>
      <c r="V14" s="61">
        <v>97.5</v>
      </c>
      <c r="W14" s="61">
        <v>91</v>
      </c>
      <c r="X14" s="61">
        <v>84.5</v>
      </c>
      <c r="Y14" s="61">
        <v>78</v>
      </c>
      <c r="Z14" s="61">
        <v>71.5</v>
      </c>
      <c r="AA14" s="59"/>
    </row>
    <row r="15" spans="1:27" ht="15" thickBot="1" x14ac:dyDescent="0.35">
      <c r="A15" s="64" t="s">
        <v>3</v>
      </c>
      <c r="B15" s="67" t="s">
        <v>175</v>
      </c>
      <c r="C15" s="66">
        <v>300</v>
      </c>
      <c r="D15" s="61">
        <v>4</v>
      </c>
      <c r="E15" s="68">
        <v>4</v>
      </c>
      <c r="F15" s="61">
        <v>124</v>
      </c>
      <c r="G15" s="61">
        <v>120</v>
      </c>
      <c r="H15" s="61">
        <v>116</v>
      </c>
      <c r="I15" s="61">
        <v>112</v>
      </c>
      <c r="J15" s="61">
        <v>108</v>
      </c>
      <c r="K15" s="61">
        <v>104</v>
      </c>
      <c r="L15" s="61">
        <v>100</v>
      </c>
      <c r="M15" s="69">
        <v>96</v>
      </c>
      <c r="N15" s="69">
        <v>92</v>
      </c>
      <c r="O15" s="61">
        <v>88</v>
      </c>
      <c r="P15" s="61">
        <v>84</v>
      </c>
      <c r="Q15" s="61">
        <v>80</v>
      </c>
      <c r="R15" s="61">
        <v>76</v>
      </c>
      <c r="S15" s="61">
        <v>72</v>
      </c>
      <c r="T15" s="61">
        <v>68</v>
      </c>
      <c r="U15" s="61">
        <v>64</v>
      </c>
      <c r="V15" s="61">
        <v>60</v>
      </c>
      <c r="W15" s="61">
        <v>56</v>
      </c>
      <c r="X15" s="61">
        <v>52</v>
      </c>
      <c r="Y15" s="61">
        <v>48</v>
      </c>
      <c r="Z15" s="61">
        <v>44</v>
      </c>
      <c r="AA15" s="59"/>
    </row>
    <row r="16" spans="1:27" ht="15" thickBot="1" x14ac:dyDescent="0.35">
      <c r="A16" s="64" t="s">
        <v>3</v>
      </c>
      <c r="B16" s="67" t="s">
        <v>176</v>
      </c>
      <c r="C16" s="66">
        <v>600</v>
      </c>
      <c r="D16" s="61">
        <v>5</v>
      </c>
      <c r="E16" s="68">
        <v>6</v>
      </c>
      <c r="F16" s="61">
        <v>155</v>
      </c>
      <c r="G16" s="61">
        <v>150</v>
      </c>
      <c r="H16" s="61">
        <v>145</v>
      </c>
      <c r="I16" s="61">
        <v>140</v>
      </c>
      <c r="J16" s="61">
        <v>135</v>
      </c>
      <c r="K16" s="61">
        <v>130</v>
      </c>
      <c r="L16" s="61">
        <v>125</v>
      </c>
      <c r="M16" s="69">
        <v>120</v>
      </c>
      <c r="N16" s="69">
        <v>115</v>
      </c>
      <c r="O16" s="61">
        <v>110</v>
      </c>
      <c r="P16" s="61">
        <v>105</v>
      </c>
      <c r="Q16" s="61">
        <v>100</v>
      </c>
      <c r="R16" s="61">
        <v>95</v>
      </c>
      <c r="S16" s="61">
        <v>90</v>
      </c>
      <c r="T16" s="61">
        <v>85</v>
      </c>
      <c r="U16" s="61">
        <v>80</v>
      </c>
      <c r="V16" s="61">
        <v>75</v>
      </c>
      <c r="W16" s="61">
        <v>70</v>
      </c>
      <c r="X16" s="61">
        <v>65</v>
      </c>
      <c r="Y16" s="61">
        <v>60</v>
      </c>
      <c r="Z16" s="61">
        <v>55</v>
      </c>
      <c r="AA16" s="59"/>
    </row>
    <row r="17" spans="1:27" ht="15" thickBot="1" x14ac:dyDescent="0.35">
      <c r="A17" s="64" t="s">
        <v>3</v>
      </c>
      <c r="B17" s="67" t="s">
        <v>177</v>
      </c>
      <c r="C17" s="66">
        <v>900</v>
      </c>
      <c r="D17" s="61">
        <v>6</v>
      </c>
      <c r="E17" s="68">
        <v>8</v>
      </c>
      <c r="F17" s="61">
        <v>186</v>
      </c>
      <c r="G17" s="61">
        <v>180</v>
      </c>
      <c r="H17" s="61">
        <v>174</v>
      </c>
      <c r="I17" s="61">
        <v>168</v>
      </c>
      <c r="J17" s="61">
        <v>162</v>
      </c>
      <c r="K17" s="61">
        <v>156</v>
      </c>
      <c r="L17" s="61">
        <v>150</v>
      </c>
      <c r="M17" s="69">
        <v>144</v>
      </c>
      <c r="N17" s="69">
        <v>138</v>
      </c>
      <c r="O17" s="61">
        <v>132</v>
      </c>
      <c r="P17" s="61">
        <v>126</v>
      </c>
      <c r="Q17" s="61">
        <v>120</v>
      </c>
      <c r="R17" s="61">
        <v>114</v>
      </c>
      <c r="S17" s="61">
        <v>108</v>
      </c>
      <c r="T17" s="61">
        <v>102</v>
      </c>
      <c r="U17" s="61">
        <v>96</v>
      </c>
      <c r="V17" s="61">
        <v>90</v>
      </c>
      <c r="W17" s="61">
        <v>84</v>
      </c>
      <c r="X17" s="61">
        <v>78</v>
      </c>
      <c r="Y17" s="61">
        <v>72</v>
      </c>
      <c r="Z17" s="61">
        <v>66</v>
      </c>
      <c r="AA17" s="59"/>
    </row>
    <row r="18" spans="1:27" ht="15" thickBot="1" x14ac:dyDescent="0.35">
      <c r="A18" s="64" t="s">
        <v>3</v>
      </c>
      <c r="B18" s="67" t="s">
        <v>178</v>
      </c>
      <c r="C18" s="66">
        <v>1200</v>
      </c>
      <c r="D18" s="61">
        <v>7</v>
      </c>
      <c r="E18" s="68">
        <v>10</v>
      </c>
      <c r="F18" s="61">
        <v>217</v>
      </c>
      <c r="G18" s="61">
        <v>210</v>
      </c>
      <c r="H18" s="61">
        <v>203</v>
      </c>
      <c r="I18" s="61">
        <v>196</v>
      </c>
      <c r="J18" s="61">
        <v>189</v>
      </c>
      <c r="K18" s="61">
        <v>182</v>
      </c>
      <c r="L18" s="61">
        <v>175</v>
      </c>
      <c r="M18" s="69">
        <v>168</v>
      </c>
      <c r="N18" s="69">
        <v>161</v>
      </c>
      <c r="O18" s="61">
        <v>154</v>
      </c>
      <c r="P18" s="61">
        <v>147</v>
      </c>
      <c r="Q18" s="61">
        <v>140</v>
      </c>
      <c r="R18" s="61">
        <v>133</v>
      </c>
      <c r="S18" s="61">
        <v>126</v>
      </c>
      <c r="T18" s="61">
        <v>119</v>
      </c>
      <c r="U18" s="61">
        <v>112</v>
      </c>
      <c r="V18" s="61">
        <v>105</v>
      </c>
      <c r="W18" s="61">
        <v>98</v>
      </c>
      <c r="X18" s="61">
        <v>91</v>
      </c>
      <c r="Y18" s="61">
        <v>84</v>
      </c>
      <c r="Z18" s="61">
        <v>77</v>
      </c>
      <c r="AA18" s="59"/>
    </row>
    <row r="19" spans="1:27" ht="15" thickBot="1" x14ac:dyDescent="0.35">
      <c r="A19" s="72" t="s">
        <v>180</v>
      </c>
      <c r="B19" s="67" t="s">
        <v>175</v>
      </c>
      <c r="C19" s="66">
        <v>600</v>
      </c>
      <c r="D19" s="61">
        <v>3</v>
      </c>
      <c r="E19" s="68">
        <v>4</v>
      </c>
      <c r="F19" s="61">
        <v>93</v>
      </c>
      <c r="G19" s="61">
        <v>90</v>
      </c>
      <c r="H19" s="61">
        <v>87</v>
      </c>
      <c r="I19" s="61">
        <v>84</v>
      </c>
      <c r="J19" s="61">
        <v>81</v>
      </c>
      <c r="K19" s="61">
        <v>78</v>
      </c>
      <c r="L19" s="61">
        <v>75</v>
      </c>
      <c r="M19" s="69">
        <v>72</v>
      </c>
      <c r="N19" s="69">
        <v>69</v>
      </c>
      <c r="O19" s="61">
        <v>66</v>
      </c>
      <c r="P19" s="61">
        <v>63</v>
      </c>
      <c r="Q19" s="61">
        <v>60</v>
      </c>
      <c r="R19" s="61">
        <v>57</v>
      </c>
      <c r="S19" s="61">
        <v>54</v>
      </c>
      <c r="T19" s="61">
        <v>51</v>
      </c>
      <c r="U19" s="61">
        <v>48</v>
      </c>
      <c r="V19" s="61">
        <v>45</v>
      </c>
      <c r="W19" s="61">
        <v>42</v>
      </c>
      <c r="X19" s="61">
        <v>39</v>
      </c>
      <c r="Y19" s="61">
        <v>36</v>
      </c>
      <c r="Z19" s="61">
        <v>33</v>
      </c>
      <c r="AA19" s="59"/>
    </row>
    <row r="20" spans="1:27" ht="15" thickBot="1" x14ac:dyDescent="0.35">
      <c r="A20" s="72" t="s">
        <v>180</v>
      </c>
      <c r="B20" s="67" t="s">
        <v>176</v>
      </c>
      <c r="C20" s="66">
        <v>900</v>
      </c>
      <c r="D20" s="61">
        <v>4</v>
      </c>
      <c r="E20" s="68">
        <v>6</v>
      </c>
      <c r="F20" s="61">
        <v>124</v>
      </c>
      <c r="G20" s="61">
        <v>120</v>
      </c>
      <c r="H20" s="61">
        <v>116</v>
      </c>
      <c r="I20" s="61">
        <v>112</v>
      </c>
      <c r="J20" s="61">
        <v>108</v>
      </c>
      <c r="K20" s="61">
        <v>104</v>
      </c>
      <c r="L20" s="61">
        <v>100</v>
      </c>
      <c r="M20" s="69">
        <v>96</v>
      </c>
      <c r="N20" s="69">
        <v>92</v>
      </c>
      <c r="O20" s="61">
        <v>88</v>
      </c>
      <c r="P20" s="61">
        <v>84</v>
      </c>
      <c r="Q20" s="61">
        <v>80</v>
      </c>
      <c r="R20" s="61">
        <v>76</v>
      </c>
      <c r="S20" s="61">
        <v>72</v>
      </c>
      <c r="T20" s="61">
        <v>68</v>
      </c>
      <c r="U20" s="61">
        <v>64</v>
      </c>
      <c r="V20" s="61">
        <v>60</v>
      </c>
      <c r="W20" s="61">
        <v>56</v>
      </c>
      <c r="X20" s="61">
        <v>52</v>
      </c>
      <c r="Y20" s="61">
        <v>48</v>
      </c>
      <c r="Z20" s="61">
        <v>44</v>
      </c>
      <c r="AA20" s="59"/>
    </row>
    <row r="21" spans="1:27" ht="15" thickBot="1" x14ac:dyDescent="0.35">
      <c r="A21" s="72" t="s">
        <v>180</v>
      </c>
      <c r="B21" s="67" t="s">
        <v>177</v>
      </c>
      <c r="C21" s="66">
        <v>1200</v>
      </c>
      <c r="D21" s="61">
        <v>5</v>
      </c>
      <c r="E21" s="68">
        <v>8</v>
      </c>
      <c r="F21" s="61">
        <v>155</v>
      </c>
      <c r="G21" s="61">
        <v>150</v>
      </c>
      <c r="H21" s="61">
        <v>145</v>
      </c>
      <c r="I21" s="61">
        <v>140</v>
      </c>
      <c r="J21" s="61">
        <v>135</v>
      </c>
      <c r="K21" s="61">
        <v>130</v>
      </c>
      <c r="L21" s="61">
        <v>125</v>
      </c>
      <c r="M21" s="69">
        <v>120</v>
      </c>
      <c r="N21" s="69">
        <v>115</v>
      </c>
      <c r="O21" s="61">
        <v>110</v>
      </c>
      <c r="P21" s="61">
        <v>105</v>
      </c>
      <c r="Q21" s="61">
        <v>100</v>
      </c>
      <c r="R21" s="61">
        <v>95</v>
      </c>
      <c r="S21" s="61">
        <v>90</v>
      </c>
      <c r="T21" s="61">
        <v>85</v>
      </c>
      <c r="U21" s="61">
        <v>80</v>
      </c>
      <c r="V21" s="61">
        <v>75</v>
      </c>
      <c r="W21" s="61">
        <v>70</v>
      </c>
      <c r="X21" s="61">
        <v>65</v>
      </c>
      <c r="Y21" s="61">
        <v>60</v>
      </c>
      <c r="Z21" s="61">
        <v>55</v>
      </c>
      <c r="AA21" s="59"/>
    </row>
    <row r="22" spans="1:27" ht="15" thickBot="1" x14ac:dyDescent="0.35">
      <c r="A22" s="72" t="s">
        <v>180</v>
      </c>
      <c r="B22" s="67" t="s">
        <v>178</v>
      </c>
      <c r="C22" s="66">
        <v>1500</v>
      </c>
      <c r="D22" s="61">
        <v>6</v>
      </c>
      <c r="E22" s="68">
        <v>10</v>
      </c>
      <c r="F22" s="61">
        <v>186</v>
      </c>
      <c r="G22" s="61">
        <v>180</v>
      </c>
      <c r="H22" s="61">
        <v>174</v>
      </c>
      <c r="I22" s="61">
        <v>168</v>
      </c>
      <c r="J22" s="61">
        <v>162</v>
      </c>
      <c r="K22" s="61">
        <v>156</v>
      </c>
      <c r="L22" s="61">
        <v>150</v>
      </c>
      <c r="M22" s="69">
        <v>144</v>
      </c>
      <c r="N22" s="69">
        <v>138</v>
      </c>
      <c r="O22" s="61">
        <v>132</v>
      </c>
      <c r="P22" s="61">
        <v>126</v>
      </c>
      <c r="Q22" s="61">
        <v>120</v>
      </c>
      <c r="R22" s="61">
        <v>114</v>
      </c>
      <c r="S22" s="61">
        <v>108</v>
      </c>
      <c r="T22" s="61">
        <v>102</v>
      </c>
      <c r="U22" s="61">
        <v>96</v>
      </c>
      <c r="V22" s="61">
        <v>90</v>
      </c>
      <c r="W22" s="61">
        <v>84</v>
      </c>
      <c r="X22" s="61">
        <v>78</v>
      </c>
      <c r="Y22" s="61">
        <v>72</v>
      </c>
      <c r="Z22" s="61">
        <v>66</v>
      </c>
      <c r="AA22" s="59"/>
    </row>
    <row r="23" spans="1:27" ht="15" thickBot="1" x14ac:dyDescent="0.35">
      <c r="A23" s="70" t="s">
        <v>181</v>
      </c>
      <c r="B23" s="67" t="s">
        <v>175</v>
      </c>
      <c r="C23" s="66">
        <v>600</v>
      </c>
      <c r="D23" s="61">
        <v>4.5</v>
      </c>
      <c r="E23" s="68">
        <v>4</v>
      </c>
      <c r="F23" s="61">
        <v>139.5</v>
      </c>
      <c r="G23" s="61">
        <v>135</v>
      </c>
      <c r="H23" s="61">
        <v>130.5</v>
      </c>
      <c r="I23" s="61">
        <v>126</v>
      </c>
      <c r="J23" s="61">
        <v>121.5</v>
      </c>
      <c r="K23" s="61">
        <v>117</v>
      </c>
      <c r="L23" s="61">
        <v>112.5</v>
      </c>
      <c r="M23" s="69">
        <v>108</v>
      </c>
      <c r="N23" s="69">
        <v>103.5</v>
      </c>
      <c r="O23" s="61">
        <v>99</v>
      </c>
      <c r="P23" s="61">
        <v>94.5</v>
      </c>
      <c r="Q23" s="61">
        <v>90</v>
      </c>
      <c r="R23" s="61">
        <v>85.5</v>
      </c>
      <c r="S23" s="61">
        <v>81</v>
      </c>
      <c r="T23" s="61">
        <v>76.5</v>
      </c>
      <c r="U23" s="61">
        <v>72</v>
      </c>
      <c r="V23" s="61">
        <v>67.5</v>
      </c>
      <c r="W23" s="61">
        <v>63</v>
      </c>
      <c r="X23" s="61">
        <v>58.5</v>
      </c>
      <c r="Y23" s="61">
        <v>54</v>
      </c>
      <c r="Z23" s="61">
        <v>49.5</v>
      </c>
      <c r="AA23" s="59"/>
    </row>
    <row r="24" spans="1:27" ht="15" thickBot="1" x14ac:dyDescent="0.35">
      <c r="A24" s="70" t="s">
        <v>181</v>
      </c>
      <c r="B24" s="67" t="s">
        <v>176</v>
      </c>
      <c r="C24" s="66">
        <v>900</v>
      </c>
      <c r="D24" s="61">
        <v>5.5</v>
      </c>
      <c r="E24" s="68">
        <v>6</v>
      </c>
      <c r="F24" s="61">
        <v>170.5</v>
      </c>
      <c r="G24" s="61">
        <v>165</v>
      </c>
      <c r="H24" s="61">
        <v>159.5</v>
      </c>
      <c r="I24" s="61">
        <v>154</v>
      </c>
      <c r="J24" s="61">
        <v>148.5</v>
      </c>
      <c r="K24" s="61">
        <v>143</v>
      </c>
      <c r="L24" s="61">
        <v>137.5</v>
      </c>
      <c r="M24" s="69">
        <v>132</v>
      </c>
      <c r="N24" s="69">
        <v>126.5</v>
      </c>
      <c r="O24" s="61">
        <v>121</v>
      </c>
      <c r="P24" s="61">
        <v>115.5</v>
      </c>
      <c r="Q24" s="61">
        <v>110</v>
      </c>
      <c r="R24" s="61">
        <v>104.5</v>
      </c>
      <c r="S24" s="61">
        <v>99</v>
      </c>
      <c r="T24" s="61">
        <v>93.5</v>
      </c>
      <c r="U24" s="61">
        <v>88</v>
      </c>
      <c r="V24" s="61">
        <v>82.5</v>
      </c>
      <c r="W24" s="61">
        <v>77</v>
      </c>
      <c r="X24" s="61">
        <v>71.5</v>
      </c>
      <c r="Y24" s="61">
        <v>66</v>
      </c>
      <c r="Z24" s="61">
        <v>60.5</v>
      </c>
      <c r="AA24" s="59"/>
    </row>
    <row r="25" spans="1:27" ht="15" thickBot="1" x14ac:dyDescent="0.35">
      <c r="A25" s="70" t="s">
        <v>181</v>
      </c>
      <c r="B25" s="67" t="s">
        <v>177</v>
      </c>
      <c r="C25" s="66">
        <v>1200</v>
      </c>
      <c r="D25" s="61">
        <v>6.5</v>
      </c>
      <c r="E25" s="68">
        <v>8</v>
      </c>
      <c r="F25" s="61">
        <v>201.5</v>
      </c>
      <c r="G25" s="61">
        <v>195</v>
      </c>
      <c r="H25" s="61">
        <v>188.5</v>
      </c>
      <c r="I25" s="61">
        <v>182</v>
      </c>
      <c r="J25" s="61">
        <v>175.5</v>
      </c>
      <c r="K25" s="61">
        <v>169</v>
      </c>
      <c r="L25" s="61">
        <v>162.5</v>
      </c>
      <c r="M25" s="69">
        <v>156</v>
      </c>
      <c r="N25" s="69">
        <v>149.5</v>
      </c>
      <c r="O25" s="61">
        <v>143</v>
      </c>
      <c r="P25" s="61">
        <v>136.5</v>
      </c>
      <c r="Q25" s="61">
        <v>130</v>
      </c>
      <c r="R25" s="61">
        <v>123.5</v>
      </c>
      <c r="S25" s="61">
        <v>117</v>
      </c>
      <c r="T25" s="61">
        <v>110.5</v>
      </c>
      <c r="U25" s="61">
        <v>104</v>
      </c>
      <c r="V25" s="61">
        <v>97.5</v>
      </c>
      <c r="W25" s="61">
        <v>91</v>
      </c>
      <c r="X25" s="61">
        <v>84.5</v>
      </c>
      <c r="Y25" s="61">
        <v>78</v>
      </c>
      <c r="Z25" s="61">
        <v>71.5</v>
      </c>
      <c r="AA25" s="59"/>
    </row>
    <row r="26" spans="1:27" ht="15" thickBot="1" x14ac:dyDescent="0.35">
      <c r="A26" s="70" t="s">
        <v>181</v>
      </c>
      <c r="B26" s="67" t="s">
        <v>178</v>
      </c>
      <c r="C26" s="66">
        <v>1500</v>
      </c>
      <c r="D26" s="61">
        <v>7.5</v>
      </c>
      <c r="E26" s="68">
        <v>10</v>
      </c>
      <c r="F26" s="61">
        <v>232.5</v>
      </c>
      <c r="G26" s="61">
        <v>225</v>
      </c>
      <c r="H26" s="61">
        <v>217.5</v>
      </c>
      <c r="I26" s="61">
        <v>210</v>
      </c>
      <c r="J26" s="61">
        <v>202.5</v>
      </c>
      <c r="K26" s="61">
        <v>195</v>
      </c>
      <c r="L26" s="61">
        <v>187.5</v>
      </c>
      <c r="M26" s="69">
        <v>180</v>
      </c>
      <c r="N26" s="69">
        <v>172.5</v>
      </c>
      <c r="O26" s="61">
        <v>165</v>
      </c>
      <c r="P26" s="61">
        <v>157.5</v>
      </c>
      <c r="Q26" s="61">
        <v>150</v>
      </c>
      <c r="R26" s="61">
        <v>142.5</v>
      </c>
      <c r="S26" s="61">
        <v>135</v>
      </c>
      <c r="T26" s="61">
        <v>127.5</v>
      </c>
      <c r="U26" s="61">
        <v>120</v>
      </c>
      <c r="V26" s="61">
        <v>112.5</v>
      </c>
      <c r="W26" s="61">
        <v>105</v>
      </c>
      <c r="X26" s="61">
        <v>97.5</v>
      </c>
      <c r="Y26" s="61">
        <v>90</v>
      </c>
      <c r="Z26" s="61">
        <v>82.5</v>
      </c>
      <c r="AA26" s="59"/>
    </row>
    <row r="27" spans="1:27" ht="15" thickBot="1" x14ac:dyDescent="0.35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</row>
    <row r="28" spans="1:27" ht="15" thickBot="1" x14ac:dyDescent="0.35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</row>
    <row r="29" spans="1:27" ht="15" thickBot="1" x14ac:dyDescent="0.35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</row>
    <row r="30" spans="1:27" ht="15" thickBot="1" x14ac:dyDescent="0.35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</row>
    <row r="31" spans="1:27" ht="15" thickBot="1" x14ac:dyDescent="0.35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</row>
    <row r="32" spans="1:27" ht="15" thickBot="1" x14ac:dyDescent="0.35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</row>
    <row r="33" spans="1:27" ht="15" thickBot="1" x14ac:dyDescent="0.35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</row>
    <row r="34" spans="1:27" ht="15" thickBot="1" x14ac:dyDescent="0.35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</row>
    <row r="35" spans="1:27" ht="15" thickBot="1" x14ac:dyDescent="0.35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</row>
    <row r="36" spans="1:27" ht="15" thickBot="1" x14ac:dyDescent="0.35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</row>
    <row r="37" spans="1:27" ht="15" thickBot="1" x14ac:dyDescent="0.35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</row>
    <row r="38" spans="1:27" ht="15" thickBot="1" x14ac:dyDescent="0.35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</row>
    <row r="39" spans="1:27" ht="15" thickBot="1" x14ac:dyDescent="0.35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</row>
    <row r="40" spans="1:27" ht="15" thickBot="1" x14ac:dyDescent="0.35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</row>
    <row r="41" spans="1:27" ht="15" thickBot="1" x14ac:dyDescent="0.35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</row>
    <row r="42" spans="1:27" ht="15" thickBot="1" x14ac:dyDescent="0.35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</row>
    <row r="43" spans="1:27" ht="15" thickBot="1" x14ac:dyDescent="0.35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</row>
    <row r="44" spans="1:27" ht="15" thickBot="1" x14ac:dyDescent="0.35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</row>
    <row r="45" spans="1:27" ht="15" thickBot="1" x14ac:dyDescent="0.3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</row>
    <row r="46" spans="1:27" ht="15" thickBot="1" x14ac:dyDescent="0.35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</row>
    <row r="47" spans="1:27" ht="15" thickBot="1" x14ac:dyDescent="0.35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</row>
    <row r="48" spans="1:27" ht="15" thickBot="1" x14ac:dyDescent="0.35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</row>
    <row r="49" spans="1:27" ht="15" thickBot="1" x14ac:dyDescent="0.35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</row>
    <row r="50" spans="1:27" ht="15" thickBot="1" x14ac:dyDescent="0.35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</row>
    <row r="51" spans="1:27" ht="15" thickBot="1" x14ac:dyDescent="0.35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</row>
    <row r="52" spans="1:27" ht="15" thickBot="1" x14ac:dyDescent="0.35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</row>
    <row r="53" spans="1:27" ht="15" thickBot="1" x14ac:dyDescent="0.35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</row>
    <row r="54" spans="1:27" ht="15" thickBot="1" x14ac:dyDescent="0.35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</row>
    <row r="55" spans="1:27" ht="15" thickBot="1" x14ac:dyDescent="0.3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</row>
    <row r="56" spans="1:27" ht="15" thickBot="1" x14ac:dyDescent="0.35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</row>
    <row r="57" spans="1:27" ht="15" thickBot="1" x14ac:dyDescent="0.35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</row>
    <row r="58" spans="1:27" ht="15" thickBot="1" x14ac:dyDescent="0.35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</row>
    <row r="59" spans="1:27" ht="15" thickBot="1" x14ac:dyDescent="0.35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</row>
    <row r="60" spans="1:27" ht="15" thickBot="1" x14ac:dyDescent="0.35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</row>
    <row r="61" spans="1:27" ht="15" thickBot="1" x14ac:dyDescent="0.35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</row>
    <row r="62" spans="1:27" ht="15" thickBot="1" x14ac:dyDescent="0.35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</row>
    <row r="63" spans="1:27" ht="15" thickBot="1" x14ac:dyDescent="0.35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</row>
    <row r="64" spans="1:27" ht="15" thickBot="1" x14ac:dyDescent="0.35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</row>
    <row r="65" spans="1:27" ht="15" thickBot="1" x14ac:dyDescent="0.3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</row>
    <row r="66" spans="1:27" ht="15" thickBot="1" x14ac:dyDescent="0.35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</row>
    <row r="67" spans="1:27" ht="15" thickBot="1" x14ac:dyDescent="0.35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</row>
    <row r="68" spans="1:27" ht="15" thickBot="1" x14ac:dyDescent="0.35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</row>
    <row r="69" spans="1:27" ht="15" thickBot="1" x14ac:dyDescent="0.35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</row>
    <row r="70" spans="1:27" ht="15" thickBot="1" x14ac:dyDescent="0.35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</row>
    <row r="71" spans="1:27" ht="15" thickBot="1" x14ac:dyDescent="0.35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</row>
    <row r="72" spans="1:27" ht="15" thickBot="1" x14ac:dyDescent="0.35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</row>
    <row r="73" spans="1:27" ht="15" thickBot="1" x14ac:dyDescent="0.35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</row>
    <row r="74" spans="1:27" ht="15" thickBot="1" x14ac:dyDescent="0.35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</row>
    <row r="75" spans="1:27" ht="15" thickBot="1" x14ac:dyDescent="0.3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</row>
    <row r="76" spans="1:27" ht="15" thickBot="1" x14ac:dyDescent="0.35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</row>
    <row r="77" spans="1:27" ht="15" thickBot="1" x14ac:dyDescent="0.35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</row>
    <row r="78" spans="1:27" ht="15" thickBot="1" x14ac:dyDescent="0.35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</row>
    <row r="79" spans="1:27" ht="15" thickBot="1" x14ac:dyDescent="0.35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</row>
    <row r="80" spans="1:27" ht="15" thickBot="1" x14ac:dyDescent="0.35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</row>
    <row r="81" spans="1:27" ht="15" thickBot="1" x14ac:dyDescent="0.35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</row>
    <row r="82" spans="1:27" ht="15" thickBot="1" x14ac:dyDescent="0.35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</row>
    <row r="83" spans="1:27" ht="15" thickBot="1" x14ac:dyDescent="0.35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</row>
    <row r="84" spans="1:27" ht="15" thickBot="1" x14ac:dyDescent="0.35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</row>
    <row r="85" spans="1:27" ht="15" thickBot="1" x14ac:dyDescent="0.3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</row>
    <row r="86" spans="1:27" ht="15" thickBot="1" x14ac:dyDescent="0.35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</row>
    <row r="87" spans="1:27" ht="15" thickBot="1" x14ac:dyDescent="0.35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</row>
    <row r="88" spans="1:27" ht="15" thickBot="1" x14ac:dyDescent="0.35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</row>
    <row r="89" spans="1:27" ht="15" thickBot="1" x14ac:dyDescent="0.35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</row>
    <row r="90" spans="1:27" ht="15" thickBot="1" x14ac:dyDescent="0.35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</row>
    <row r="91" spans="1:27" ht="15" thickBot="1" x14ac:dyDescent="0.35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</row>
    <row r="92" spans="1:27" ht="15" thickBot="1" x14ac:dyDescent="0.35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</row>
    <row r="93" spans="1:27" ht="15" thickBot="1" x14ac:dyDescent="0.35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</row>
    <row r="94" spans="1:27" ht="15" thickBot="1" x14ac:dyDescent="0.35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</row>
    <row r="95" spans="1:27" ht="15" thickBot="1" x14ac:dyDescent="0.3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</row>
    <row r="96" spans="1:27" ht="15" thickBot="1" x14ac:dyDescent="0.35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</row>
    <row r="97" spans="1:27" ht="15" thickBot="1" x14ac:dyDescent="0.35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</row>
    <row r="98" spans="1:27" ht="15" thickBot="1" x14ac:dyDescent="0.35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</row>
    <row r="99" spans="1:27" ht="15" thickBot="1" x14ac:dyDescent="0.35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</row>
    <row r="100" spans="1:27" ht="15" thickBot="1" x14ac:dyDescent="0.35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</row>
    <row r="101" spans="1:27" ht="15" thickBot="1" x14ac:dyDescent="0.35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</row>
    <row r="102" spans="1:27" ht="15" thickBot="1" x14ac:dyDescent="0.35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</row>
    <row r="103" spans="1:27" ht="15" thickBot="1" x14ac:dyDescent="0.35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</row>
    <row r="104" spans="1:27" ht="15" thickBot="1" x14ac:dyDescent="0.35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</row>
    <row r="105" spans="1:27" ht="15" thickBot="1" x14ac:dyDescent="0.3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</row>
    <row r="106" spans="1:27" ht="15" thickBot="1" x14ac:dyDescent="0.35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</row>
    <row r="107" spans="1:27" ht="15" thickBot="1" x14ac:dyDescent="0.35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</row>
    <row r="108" spans="1:27" ht="15" thickBot="1" x14ac:dyDescent="0.35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</row>
    <row r="109" spans="1:27" ht="15" thickBot="1" x14ac:dyDescent="0.35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</row>
    <row r="110" spans="1:27" ht="15" thickBot="1" x14ac:dyDescent="0.35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</row>
    <row r="111" spans="1:27" ht="15" thickBot="1" x14ac:dyDescent="0.35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</row>
    <row r="112" spans="1:27" ht="15" thickBot="1" x14ac:dyDescent="0.35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</row>
    <row r="113" spans="1:27" ht="15" thickBot="1" x14ac:dyDescent="0.35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</row>
    <row r="114" spans="1:27" ht="15" thickBot="1" x14ac:dyDescent="0.35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</row>
    <row r="115" spans="1:27" ht="15" thickBot="1" x14ac:dyDescent="0.3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</row>
    <row r="116" spans="1:27" ht="15" thickBot="1" x14ac:dyDescent="0.35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</row>
    <row r="117" spans="1:27" ht="15" thickBot="1" x14ac:dyDescent="0.35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</row>
    <row r="118" spans="1:27" ht="15" thickBot="1" x14ac:dyDescent="0.35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</row>
    <row r="119" spans="1:27" ht="15" thickBot="1" x14ac:dyDescent="0.35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</row>
    <row r="120" spans="1:27" ht="15" thickBot="1" x14ac:dyDescent="0.35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</row>
    <row r="121" spans="1:27" ht="15" thickBot="1" x14ac:dyDescent="0.35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</row>
    <row r="122" spans="1:27" ht="15" thickBot="1" x14ac:dyDescent="0.35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</row>
    <row r="123" spans="1:27" ht="15" thickBot="1" x14ac:dyDescent="0.35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</row>
    <row r="124" spans="1:27" ht="15" thickBot="1" x14ac:dyDescent="0.35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</row>
    <row r="125" spans="1:27" ht="15" thickBot="1" x14ac:dyDescent="0.3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</row>
    <row r="126" spans="1:27" ht="15" thickBot="1" x14ac:dyDescent="0.35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</row>
    <row r="127" spans="1:27" ht="15" thickBot="1" x14ac:dyDescent="0.35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</row>
    <row r="128" spans="1:27" ht="15" thickBot="1" x14ac:dyDescent="0.35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</row>
    <row r="129" spans="1:27" ht="15" thickBot="1" x14ac:dyDescent="0.35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</row>
    <row r="130" spans="1:27" ht="15" thickBot="1" x14ac:dyDescent="0.35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</row>
    <row r="131" spans="1:27" ht="15" thickBot="1" x14ac:dyDescent="0.35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</row>
    <row r="132" spans="1:27" ht="15" thickBot="1" x14ac:dyDescent="0.35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</row>
    <row r="133" spans="1:27" ht="15" thickBot="1" x14ac:dyDescent="0.35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</row>
    <row r="134" spans="1:27" ht="15" thickBot="1" x14ac:dyDescent="0.35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</row>
    <row r="135" spans="1:27" ht="15" thickBot="1" x14ac:dyDescent="0.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</row>
    <row r="136" spans="1:27" ht="15" thickBot="1" x14ac:dyDescent="0.35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</row>
    <row r="137" spans="1:27" ht="15" thickBot="1" x14ac:dyDescent="0.35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</row>
    <row r="138" spans="1:27" ht="15" thickBot="1" x14ac:dyDescent="0.35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</row>
    <row r="139" spans="1:27" ht="15" thickBot="1" x14ac:dyDescent="0.35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</row>
    <row r="140" spans="1:27" ht="15" thickBot="1" x14ac:dyDescent="0.35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</row>
    <row r="141" spans="1:27" ht="15" thickBot="1" x14ac:dyDescent="0.35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</row>
    <row r="142" spans="1:27" ht="15" thickBot="1" x14ac:dyDescent="0.35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</row>
    <row r="143" spans="1:27" ht="15" thickBot="1" x14ac:dyDescent="0.35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</row>
    <row r="144" spans="1:27" ht="15" thickBot="1" x14ac:dyDescent="0.35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</row>
    <row r="145" spans="1:27" ht="15" thickBot="1" x14ac:dyDescent="0.3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</row>
    <row r="146" spans="1:27" ht="15" thickBot="1" x14ac:dyDescent="0.35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</row>
    <row r="147" spans="1:27" ht="15" thickBot="1" x14ac:dyDescent="0.35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</row>
    <row r="148" spans="1:27" ht="15" thickBot="1" x14ac:dyDescent="0.35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</row>
    <row r="149" spans="1:27" ht="15" thickBot="1" x14ac:dyDescent="0.35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</row>
    <row r="150" spans="1:27" ht="15" thickBot="1" x14ac:dyDescent="0.35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</row>
    <row r="151" spans="1:27" ht="15" thickBot="1" x14ac:dyDescent="0.35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</row>
    <row r="152" spans="1:27" ht="15" thickBot="1" x14ac:dyDescent="0.35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</row>
    <row r="153" spans="1:27" ht="15" thickBot="1" x14ac:dyDescent="0.35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</row>
    <row r="154" spans="1:27" ht="15" thickBot="1" x14ac:dyDescent="0.35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</row>
    <row r="155" spans="1:27" ht="15" thickBot="1" x14ac:dyDescent="0.3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</row>
    <row r="156" spans="1:27" ht="15" thickBot="1" x14ac:dyDescent="0.35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</row>
    <row r="157" spans="1:27" ht="15" thickBot="1" x14ac:dyDescent="0.35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</row>
    <row r="158" spans="1:27" ht="15" thickBot="1" x14ac:dyDescent="0.35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</row>
    <row r="159" spans="1:27" ht="15" thickBot="1" x14ac:dyDescent="0.35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</row>
    <row r="160" spans="1:27" ht="15" thickBot="1" x14ac:dyDescent="0.35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</row>
    <row r="161" spans="1:27" ht="15" thickBot="1" x14ac:dyDescent="0.35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</row>
    <row r="162" spans="1:27" ht="15" thickBot="1" x14ac:dyDescent="0.35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</row>
    <row r="163" spans="1:27" ht="15" thickBot="1" x14ac:dyDescent="0.35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</row>
    <row r="164" spans="1:27" ht="15" thickBot="1" x14ac:dyDescent="0.35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</row>
    <row r="165" spans="1:27" ht="15" thickBot="1" x14ac:dyDescent="0.3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</row>
    <row r="166" spans="1:27" ht="15" thickBot="1" x14ac:dyDescent="0.35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</row>
    <row r="167" spans="1:27" ht="15" thickBot="1" x14ac:dyDescent="0.35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</row>
    <row r="168" spans="1:27" ht="15" thickBot="1" x14ac:dyDescent="0.35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</row>
    <row r="169" spans="1:27" ht="15" thickBot="1" x14ac:dyDescent="0.35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</row>
    <row r="170" spans="1:27" ht="15" thickBot="1" x14ac:dyDescent="0.35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</row>
    <row r="171" spans="1:27" ht="15" thickBot="1" x14ac:dyDescent="0.35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</row>
    <row r="172" spans="1:27" ht="15" thickBot="1" x14ac:dyDescent="0.35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</row>
    <row r="173" spans="1:27" ht="15" thickBot="1" x14ac:dyDescent="0.35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</row>
    <row r="174" spans="1:27" ht="15" thickBot="1" x14ac:dyDescent="0.35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</row>
    <row r="175" spans="1:27" ht="15" thickBot="1" x14ac:dyDescent="0.3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</row>
    <row r="176" spans="1:27" ht="15" thickBot="1" x14ac:dyDescent="0.35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</row>
    <row r="177" spans="1:27" ht="15" thickBot="1" x14ac:dyDescent="0.35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</row>
    <row r="178" spans="1:27" ht="15" thickBot="1" x14ac:dyDescent="0.35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</row>
    <row r="179" spans="1:27" ht="15" thickBot="1" x14ac:dyDescent="0.35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</row>
    <row r="180" spans="1:27" ht="15" thickBot="1" x14ac:dyDescent="0.35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</row>
    <row r="181" spans="1:27" ht="15" thickBot="1" x14ac:dyDescent="0.35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</row>
    <row r="182" spans="1:27" ht="15" thickBot="1" x14ac:dyDescent="0.35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</row>
    <row r="183" spans="1:27" ht="15" thickBot="1" x14ac:dyDescent="0.35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</row>
    <row r="184" spans="1:27" ht="15" thickBot="1" x14ac:dyDescent="0.35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</row>
    <row r="185" spans="1:27" ht="15" thickBot="1" x14ac:dyDescent="0.3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</row>
    <row r="186" spans="1:27" ht="15" thickBot="1" x14ac:dyDescent="0.35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</row>
    <row r="187" spans="1:27" ht="15" thickBot="1" x14ac:dyDescent="0.35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</row>
    <row r="188" spans="1:27" ht="15" thickBot="1" x14ac:dyDescent="0.35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</row>
    <row r="189" spans="1:27" ht="15" thickBot="1" x14ac:dyDescent="0.35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</row>
    <row r="190" spans="1:27" ht="15" thickBot="1" x14ac:dyDescent="0.35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</row>
    <row r="191" spans="1:27" ht="15" thickBot="1" x14ac:dyDescent="0.35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</row>
    <row r="192" spans="1:27" ht="15" thickBot="1" x14ac:dyDescent="0.35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</row>
    <row r="193" spans="1:27" ht="15" thickBot="1" x14ac:dyDescent="0.35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</row>
    <row r="194" spans="1:27" ht="15" thickBot="1" x14ac:dyDescent="0.35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</row>
    <row r="195" spans="1:27" ht="15" thickBot="1" x14ac:dyDescent="0.3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</row>
    <row r="196" spans="1:27" ht="15" thickBot="1" x14ac:dyDescent="0.35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</row>
    <row r="197" spans="1:27" ht="15" thickBot="1" x14ac:dyDescent="0.35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</row>
    <row r="198" spans="1:27" ht="15" thickBot="1" x14ac:dyDescent="0.35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</row>
    <row r="199" spans="1:27" ht="15" thickBot="1" x14ac:dyDescent="0.35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</row>
    <row r="200" spans="1:27" ht="15" thickBot="1" x14ac:dyDescent="0.35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</row>
    <row r="201" spans="1:27" ht="15" thickBot="1" x14ac:dyDescent="0.35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</row>
    <row r="202" spans="1:27" ht="15" thickBot="1" x14ac:dyDescent="0.35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</row>
    <row r="203" spans="1:27" ht="15" thickBot="1" x14ac:dyDescent="0.35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</row>
    <row r="204" spans="1:27" ht="15" thickBot="1" x14ac:dyDescent="0.35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</row>
    <row r="205" spans="1:27" ht="15" thickBot="1" x14ac:dyDescent="0.3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</row>
    <row r="206" spans="1:27" ht="15" thickBot="1" x14ac:dyDescent="0.35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</row>
    <row r="207" spans="1:27" ht="15" thickBot="1" x14ac:dyDescent="0.35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</row>
    <row r="208" spans="1:27" ht="15" thickBot="1" x14ac:dyDescent="0.35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</row>
    <row r="209" spans="1:27" ht="15" thickBot="1" x14ac:dyDescent="0.35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</row>
    <row r="210" spans="1:27" ht="15" thickBot="1" x14ac:dyDescent="0.35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</row>
    <row r="211" spans="1:27" ht="15" thickBot="1" x14ac:dyDescent="0.35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</row>
    <row r="212" spans="1:27" ht="15" thickBot="1" x14ac:dyDescent="0.35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</row>
    <row r="213" spans="1:27" ht="15" thickBot="1" x14ac:dyDescent="0.35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</row>
    <row r="214" spans="1:27" ht="15" thickBot="1" x14ac:dyDescent="0.35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</row>
    <row r="215" spans="1:27" ht="15" thickBot="1" x14ac:dyDescent="0.3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</row>
    <row r="216" spans="1:27" ht="15" thickBot="1" x14ac:dyDescent="0.35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</row>
    <row r="217" spans="1:27" ht="15" thickBot="1" x14ac:dyDescent="0.35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</row>
    <row r="218" spans="1:27" ht="15" thickBot="1" x14ac:dyDescent="0.35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</row>
    <row r="219" spans="1:27" ht="15" thickBot="1" x14ac:dyDescent="0.35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</row>
    <row r="220" spans="1:27" ht="15" thickBot="1" x14ac:dyDescent="0.35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</row>
    <row r="221" spans="1:27" ht="15" thickBot="1" x14ac:dyDescent="0.35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</row>
    <row r="222" spans="1:27" ht="15" thickBot="1" x14ac:dyDescent="0.35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</row>
    <row r="223" spans="1:27" ht="15" thickBot="1" x14ac:dyDescent="0.35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</row>
    <row r="224" spans="1:27" ht="15" thickBot="1" x14ac:dyDescent="0.35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</row>
    <row r="225" spans="1:27" ht="15" thickBot="1" x14ac:dyDescent="0.3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</row>
    <row r="226" spans="1:27" ht="15" thickBot="1" x14ac:dyDescent="0.35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</row>
    <row r="227" spans="1:27" ht="15" thickBot="1" x14ac:dyDescent="0.35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</row>
    <row r="228" spans="1:27" ht="15" thickBot="1" x14ac:dyDescent="0.35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</row>
    <row r="229" spans="1:27" ht="15" thickBot="1" x14ac:dyDescent="0.35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</row>
    <row r="230" spans="1:27" ht="15" thickBot="1" x14ac:dyDescent="0.35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</row>
    <row r="231" spans="1:27" ht="15" thickBot="1" x14ac:dyDescent="0.35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</row>
    <row r="232" spans="1:27" ht="15" thickBot="1" x14ac:dyDescent="0.35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</row>
    <row r="233" spans="1:27" ht="15" thickBot="1" x14ac:dyDescent="0.35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</row>
    <row r="234" spans="1:27" ht="15" thickBot="1" x14ac:dyDescent="0.35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</row>
    <row r="235" spans="1:27" ht="15" thickBot="1" x14ac:dyDescent="0.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</row>
    <row r="236" spans="1:27" ht="15" thickBot="1" x14ac:dyDescent="0.35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</row>
    <row r="237" spans="1:27" ht="15" thickBot="1" x14ac:dyDescent="0.35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</row>
    <row r="238" spans="1:27" ht="15" thickBot="1" x14ac:dyDescent="0.35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</row>
    <row r="239" spans="1:27" ht="15" thickBot="1" x14ac:dyDescent="0.35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</row>
    <row r="240" spans="1:27" ht="15" thickBot="1" x14ac:dyDescent="0.35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</row>
    <row r="241" spans="1:27" ht="15" thickBot="1" x14ac:dyDescent="0.35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</row>
    <row r="242" spans="1:27" ht="15" thickBot="1" x14ac:dyDescent="0.35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</row>
    <row r="243" spans="1:27" ht="15" thickBot="1" x14ac:dyDescent="0.35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</row>
    <row r="244" spans="1:27" ht="15" thickBot="1" x14ac:dyDescent="0.35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</row>
    <row r="245" spans="1:27" ht="15" thickBot="1" x14ac:dyDescent="0.3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</row>
    <row r="246" spans="1:27" ht="15" thickBot="1" x14ac:dyDescent="0.35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</row>
    <row r="247" spans="1:27" ht="15" thickBot="1" x14ac:dyDescent="0.35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</row>
    <row r="248" spans="1:27" ht="15" thickBot="1" x14ac:dyDescent="0.35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</row>
    <row r="249" spans="1:27" ht="15" thickBot="1" x14ac:dyDescent="0.35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</row>
    <row r="250" spans="1:27" ht="15" thickBot="1" x14ac:dyDescent="0.35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</row>
    <row r="251" spans="1:27" ht="15" thickBot="1" x14ac:dyDescent="0.35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</row>
    <row r="252" spans="1:27" ht="15" thickBot="1" x14ac:dyDescent="0.35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</row>
    <row r="253" spans="1:27" ht="15" thickBot="1" x14ac:dyDescent="0.35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</row>
    <row r="254" spans="1:27" ht="15" thickBot="1" x14ac:dyDescent="0.35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</row>
    <row r="255" spans="1:27" ht="15" thickBot="1" x14ac:dyDescent="0.3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</row>
    <row r="256" spans="1:27" ht="15" thickBot="1" x14ac:dyDescent="0.35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</row>
    <row r="257" spans="1:27" ht="15" thickBot="1" x14ac:dyDescent="0.35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</row>
    <row r="258" spans="1:27" ht="15" thickBot="1" x14ac:dyDescent="0.35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</row>
    <row r="259" spans="1:27" ht="15" thickBot="1" x14ac:dyDescent="0.35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</row>
    <row r="260" spans="1:27" ht="15" thickBot="1" x14ac:dyDescent="0.35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</row>
    <row r="261" spans="1:27" ht="15" thickBot="1" x14ac:dyDescent="0.35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</row>
    <row r="262" spans="1:27" ht="15" thickBot="1" x14ac:dyDescent="0.35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</row>
    <row r="263" spans="1:27" ht="15" thickBot="1" x14ac:dyDescent="0.35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</row>
    <row r="264" spans="1:27" ht="15" thickBot="1" x14ac:dyDescent="0.35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</row>
    <row r="265" spans="1:27" ht="15" thickBot="1" x14ac:dyDescent="0.3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</row>
    <row r="266" spans="1:27" ht="15" thickBot="1" x14ac:dyDescent="0.35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</row>
    <row r="267" spans="1:27" ht="15" thickBot="1" x14ac:dyDescent="0.35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</row>
    <row r="268" spans="1:27" ht="15" thickBot="1" x14ac:dyDescent="0.35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</row>
    <row r="269" spans="1:27" ht="15" thickBot="1" x14ac:dyDescent="0.35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</row>
    <row r="270" spans="1:27" ht="15" thickBot="1" x14ac:dyDescent="0.35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</row>
    <row r="271" spans="1:27" ht="15" thickBot="1" x14ac:dyDescent="0.35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</row>
    <row r="272" spans="1:27" ht="15" thickBot="1" x14ac:dyDescent="0.35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</row>
    <row r="273" spans="1:27" ht="15" thickBot="1" x14ac:dyDescent="0.35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</row>
    <row r="274" spans="1:27" ht="15" thickBot="1" x14ac:dyDescent="0.35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</row>
    <row r="275" spans="1:27" ht="15" thickBot="1" x14ac:dyDescent="0.3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</row>
    <row r="276" spans="1:27" ht="15" thickBot="1" x14ac:dyDescent="0.35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</row>
    <row r="277" spans="1:27" ht="15" thickBot="1" x14ac:dyDescent="0.35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</row>
    <row r="278" spans="1:27" ht="15" thickBot="1" x14ac:dyDescent="0.35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</row>
    <row r="279" spans="1:27" ht="15" thickBot="1" x14ac:dyDescent="0.35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</row>
    <row r="280" spans="1:27" ht="15" thickBot="1" x14ac:dyDescent="0.35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</row>
    <row r="281" spans="1:27" ht="15" thickBot="1" x14ac:dyDescent="0.35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</row>
    <row r="282" spans="1:27" ht="15" thickBot="1" x14ac:dyDescent="0.35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</row>
    <row r="283" spans="1:27" ht="15" thickBot="1" x14ac:dyDescent="0.35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</row>
    <row r="284" spans="1:27" ht="15" thickBot="1" x14ac:dyDescent="0.35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</row>
    <row r="285" spans="1:27" ht="15" thickBot="1" x14ac:dyDescent="0.3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</row>
    <row r="286" spans="1:27" ht="15" thickBot="1" x14ac:dyDescent="0.35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</row>
    <row r="287" spans="1:27" ht="15" thickBot="1" x14ac:dyDescent="0.35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</row>
    <row r="288" spans="1:27" ht="15" thickBot="1" x14ac:dyDescent="0.35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</row>
    <row r="289" spans="1:27" ht="15" thickBot="1" x14ac:dyDescent="0.35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</row>
    <row r="290" spans="1:27" ht="15" thickBot="1" x14ac:dyDescent="0.35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</row>
    <row r="291" spans="1:27" ht="15" thickBot="1" x14ac:dyDescent="0.35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</row>
    <row r="292" spans="1:27" ht="15" thickBot="1" x14ac:dyDescent="0.35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</row>
    <row r="293" spans="1:27" ht="15" thickBot="1" x14ac:dyDescent="0.35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</row>
    <row r="294" spans="1:27" ht="15" thickBot="1" x14ac:dyDescent="0.35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</row>
    <row r="295" spans="1:27" ht="15" thickBot="1" x14ac:dyDescent="0.3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</row>
    <row r="296" spans="1:27" ht="15" thickBot="1" x14ac:dyDescent="0.35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</row>
    <row r="297" spans="1:27" ht="15" thickBot="1" x14ac:dyDescent="0.35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</row>
    <row r="298" spans="1:27" ht="15" thickBot="1" x14ac:dyDescent="0.35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</row>
    <row r="299" spans="1:27" ht="15" thickBot="1" x14ac:dyDescent="0.35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</row>
    <row r="300" spans="1:27" ht="15" thickBot="1" x14ac:dyDescent="0.35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</row>
    <row r="301" spans="1:27" ht="15" thickBot="1" x14ac:dyDescent="0.35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</row>
    <row r="302" spans="1:27" ht="15" thickBot="1" x14ac:dyDescent="0.35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</row>
    <row r="303" spans="1:27" ht="15" thickBot="1" x14ac:dyDescent="0.35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</row>
    <row r="304" spans="1:27" ht="15" thickBot="1" x14ac:dyDescent="0.35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</row>
    <row r="305" spans="1:27" ht="15" thickBot="1" x14ac:dyDescent="0.3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</row>
    <row r="306" spans="1:27" ht="15" thickBot="1" x14ac:dyDescent="0.35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</row>
    <row r="307" spans="1:27" ht="15" thickBot="1" x14ac:dyDescent="0.35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</row>
    <row r="308" spans="1:27" ht="15" thickBot="1" x14ac:dyDescent="0.35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</row>
    <row r="309" spans="1:27" ht="15" thickBot="1" x14ac:dyDescent="0.35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</row>
    <row r="310" spans="1:27" ht="15" thickBot="1" x14ac:dyDescent="0.35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</row>
    <row r="311" spans="1:27" ht="15" thickBot="1" x14ac:dyDescent="0.35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</row>
    <row r="312" spans="1:27" ht="15" thickBot="1" x14ac:dyDescent="0.35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</row>
    <row r="313" spans="1:27" ht="15" thickBot="1" x14ac:dyDescent="0.35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</row>
    <row r="314" spans="1:27" ht="15" thickBot="1" x14ac:dyDescent="0.35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</row>
    <row r="315" spans="1:27" ht="15" thickBot="1" x14ac:dyDescent="0.3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</row>
    <row r="316" spans="1:27" ht="15" thickBot="1" x14ac:dyDescent="0.35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</row>
    <row r="317" spans="1:27" ht="15" thickBot="1" x14ac:dyDescent="0.35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</row>
    <row r="318" spans="1:27" ht="15" thickBot="1" x14ac:dyDescent="0.35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</row>
    <row r="319" spans="1:27" ht="15" thickBot="1" x14ac:dyDescent="0.35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</row>
    <row r="320" spans="1:27" ht="15" thickBot="1" x14ac:dyDescent="0.35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</row>
    <row r="321" spans="1:27" ht="15" thickBot="1" x14ac:dyDescent="0.35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</row>
    <row r="322" spans="1:27" ht="15" thickBot="1" x14ac:dyDescent="0.35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</row>
    <row r="323" spans="1:27" ht="15" thickBot="1" x14ac:dyDescent="0.35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</row>
    <row r="324" spans="1:27" ht="15" thickBot="1" x14ac:dyDescent="0.35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</row>
    <row r="325" spans="1:27" ht="15" thickBot="1" x14ac:dyDescent="0.3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</row>
    <row r="326" spans="1:27" ht="15" thickBot="1" x14ac:dyDescent="0.35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</row>
    <row r="327" spans="1:27" ht="15" thickBot="1" x14ac:dyDescent="0.35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</row>
    <row r="328" spans="1:27" ht="15" thickBot="1" x14ac:dyDescent="0.35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</row>
    <row r="329" spans="1:27" ht="15" thickBot="1" x14ac:dyDescent="0.35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</row>
    <row r="330" spans="1:27" ht="15" thickBot="1" x14ac:dyDescent="0.35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</row>
    <row r="331" spans="1:27" ht="15" thickBot="1" x14ac:dyDescent="0.35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</row>
    <row r="332" spans="1:27" ht="15" thickBot="1" x14ac:dyDescent="0.35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</row>
    <row r="333" spans="1:27" ht="15" thickBot="1" x14ac:dyDescent="0.35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</row>
    <row r="334" spans="1:27" ht="15" thickBot="1" x14ac:dyDescent="0.35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</row>
    <row r="335" spans="1:27" ht="15" thickBot="1" x14ac:dyDescent="0.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</row>
    <row r="336" spans="1:27" ht="15" thickBot="1" x14ac:dyDescent="0.35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</row>
    <row r="337" spans="1:27" ht="15" thickBot="1" x14ac:dyDescent="0.35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</row>
    <row r="338" spans="1:27" ht="15" thickBot="1" x14ac:dyDescent="0.35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</row>
    <row r="339" spans="1:27" ht="15" thickBot="1" x14ac:dyDescent="0.35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</row>
    <row r="340" spans="1:27" ht="15" thickBot="1" x14ac:dyDescent="0.35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</row>
    <row r="341" spans="1:27" ht="15" thickBot="1" x14ac:dyDescent="0.35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</row>
    <row r="342" spans="1:27" ht="15" thickBot="1" x14ac:dyDescent="0.35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</row>
    <row r="343" spans="1:27" ht="15" thickBot="1" x14ac:dyDescent="0.35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</row>
    <row r="344" spans="1:27" ht="15" thickBot="1" x14ac:dyDescent="0.35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</row>
    <row r="345" spans="1:27" ht="15" thickBot="1" x14ac:dyDescent="0.3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</row>
    <row r="346" spans="1:27" ht="15" thickBot="1" x14ac:dyDescent="0.35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</row>
    <row r="347" spans="1:27" ht="15" thickBot="1" x14ac:dyDescent="0.35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</row>
    <row r="348" spans="1:27" ht="15" thickBot="1" x14ac:dyDescent="0.35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</row>
    <row r="349" spans="1:27" ht="15" thickBot="1" x14ac:dyDescent="0.35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</row>
    <row r="350" spans="1:27" ht="15" thickBot="1" x14ac:dyDescent="0.35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</row>
    <row r="351" spans="1:27" ht="15" thickBot="1" x14ac:dyDescent="0.35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</row>
    <row r="352" spans="1:27" ht="15" thickBot="1" x14ac:dyDescent="0.35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</row>
    <row r="353" spans="1:27" ht="15" thickBot="1" x14ac:dyDescent="0.35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</row>
    <row r="354" spans="1:27" ht="15" thickBot="1" x14ac:dyDescent="0.35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</row>
    <row r="355" spans="1:27" ht="15" thickBot="1" x14ac:dyDescent="0.3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</row>
    <row r="356" spans="1:27" ht="15" thickBot="1" x14ac:dyDescent="0.35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</row>
    <row r="357" spans="1:27" ht="15" thickBot="1" x14ac:dyDescent="0.35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</row>
    <row r="358" spans="1:27" ht="15" thickBot="1" x14ac:dyDescent="0.35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</row>
    <row r="359" spans="1:27" ht="15" thickBot="1" x14ac:dyDescent="0.35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</row>
    <row r="360" spans="1:27" ht="15" thickBot="1" x14ac:dyDescent="0.35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</row>
    <row r="361" spans="1:27" ht="15" thickBot="1" x14ac:dyDescent="0.35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</row>
    <row r="362" spans="1:27" ht="15" thickBot="1" x14ac:dyDescent="0.35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</row>
    <row r="363" spans="1:27" ht="15" thickBot="1" x14ac:dyDescent="0.35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</row>
    <row r="364" spans="1:27" ht="15" thickBot="1" x14ac:dyDescent="0.35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</row>
    <row r="365" spans="1:27" ht="15" thickBot="1" x14ac:dyDescent="0.3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</row>
    <row r="366" spans="1:27" ht="15" thickBot="1" x14ac:dyDescent="0.35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</row>
    <row r="367" spans="1:27" ht="15" thickBot="1" x14ac:dyDescent="0.35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</row>
    <row r="368" spans="1:27" ht="15" thickBot="1" x14ac:dyDescent="0.35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</row>
    <row r="369" spans="1:27" ht="15" thickBot="1" x14ac:dyDescent="0.35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</row>
    <row r="370" spans="1:27" ht="15" thickBot="1" x14ac:dyDescent="0.35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</row>
    <row r="371" spans="1:27" ht="15" thickBot="1" x14ac:dyDescent="0.35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</row>
    <row r="372" spans="1:27" ht="15" thickBot="1" x14ac:dyDescent="0.35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</row>
    <row r="373" spans="1:27" ht="15" thickBot="1" x14ac:dyDescent="0.35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</row>
    <row r="374" spans="1:27" ht="15" thickBot="1" x14ac:dyDescent="0.35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</row>
    <row r="375" spans="1:27" ht="15" thickBot="1" x14ac:dyDescent="0.3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</row>
    <row r="376" spans="1:27" ht="15" thickBot="1" x14ac:dyDescent="0.35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</row>
    <row r="377" spans="1:27" ht="15" thickBot="1" x14ac:dyDescent="0.35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</row>
    <row r="378" spans="1:27" ht="15" thickBot="1" x14ac:dyDescent="0.35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</row>
    <row r="379" spans="1:27" ht="15" thickBot="1" x14ac:dyDescent="0.35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</row>
    <row r="380" spans="1:27" ht="15" thickBot="1" x14ac:dyDescent="0.35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</row>
    <row r="381" spans="1:27" ht="15" thickBot="1" x14ac:dyDescent="0.35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</row>
    <row r="382" spans="1:27" ht="15" thickBot="1" x14ac:dyDescent="0.35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</row>
    <row r="383" spans="1:27" ht="15" thickBot="1" x14ac:dyDescent="0.35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</row>
    <row r="384" spans="1:27" ht="15" thickBot="1" x14ac:dyDescent="0.35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</row>
    <row r="385" spans="1:27" ht="15" thickBot="1" x14ac:dyDescent="0.3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</row>
    <row r="386" spans="1:27" ht="15" thickBot="1" x14ac:dyDescent="0.35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</row>
    <row r="387" spans="1:27" ht="15" thickBot="1" x14ac:dyDescent="0.35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</row>
    <row r="388" spans="1:27" ht="15" thickBot="1" x14ac:dyDescent="0.35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</row>
    <row r="389" spans="1:27" ht="15" thickBot="1" x14ac:dyDescent="0.35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</row>
    <row r="390" spans="1:27" ht="15" thickBot="1" x14ac:dyDescent="0.35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</row>
    <row r="391" spans="1:27" ht="15" thickBot="1" x14ac:dyDescent="0.35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</row>
    <row r="392" spans="1:27" ht="15" thickBot="1" x14ac:dyDescent="0.35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</row>
    <row r="393" spans="1:27" ht="15" thickBot="1" x14ac:dyDescent="0.35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</row>
    <row r="394" spans="1:27" ht="15" thickBot="1" x14ac:dyDescent="0.35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</row>
    <row r="395" spans="1:27" ht="15" thickBot="1" x14ac:dyDescent="0.3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</row>
    <row r="396" spans="1:27" ht="15" thickBot="1" x14ac:dyDescent="0.35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</row>
    <row r="397" spans="1:27" ht="15" thickBot="1" x14ac:dyDescent="0.35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</row>
    <row r="398" spans="1:27" ht="15" thickBot="1" x14ac:dyDescent="0.35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</row>
    <row r="399" spans="1:27" ht="15" thickBot="1" x14ac:dyDescent="0.35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</row>
    <row r="400" spans="1:27" ht="15" thickBot="1" x14ac:dyDescent="0.35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</row>
    <row r="401" spans="1:27" ht="15" thickBot="1" x14ac:dyDescent="0.35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</row>
    <row r="402" spans="1:27" ht="15" thickBot="1" x14ac:dyDescent="0.35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</row>
    <row r="403" spans="1:27" ht="15" thickBot="1" x14ac:dyDescent="0.35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</row>
    <row r="404" spans="1:27" ht="15" thickBot="1" x14ac:dyDescent="0.35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</row>
    <row r="405" spans="1:27" ht="15" thickBot="1" x14ac:dyDescent="0.3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</row>
    <row r="406" spans="1:27" ht="15" thickBot="1" x14ac:dyDescent="0.35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</row>
    <row r="407" spans="1:27" ht="15" thickBot="1" x14ac:dyDescent="0.35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</row>
    <row r="408" spans="1:27" ht="15" thickBot="1" x14ac:dyDescent="0.35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</row>
    <row r="409" spans="1:27" ht="15" thickBot="1" x14ac:dyDescent="0.35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</row>
    <row r="410" spans="1:27" ht="15" thickBot="1" x14ac:dyDescent="0.35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</row>
    <row r="411" spans="1:27" ht="15" thickBot="1" x14ac:dyDescent="0.35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</row>
    <row r="412" spans="1:27" ht="15" thickBot="1" x14ac:dyDescent="0.35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</row>
    <row r="413" spans="1:27" ht="15" thickBot="1" x14ac:dyDescent="0.35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</row>
    <row r="414" spans="1:27" ht="15" thickBot="1" x14ac:dyDescent="0.35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</row>
    <row r="415" spans="1:27" ht="15" thickBot="1" x14ac:dyDescent="0.3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</row>
    <row r="416" spans="1:27" ht="15" thickBot="1" x14ac:dyDescent="0.35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</row>
    <row r="417" spans="1:27" ht="15" thickBot="1" x14ac:dyDescent="0.35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</row>
    <row r="418" spans="1:27" ht="15" thickBot="1" x14ac:dyDescent="0.35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</row>
    <row r="419" spans="1:27" ht="15" thickBot="1" x14ac:dyDescent="0.35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</row>
    <row r="420" spans="1:27" ht="15" thickBot="1" x14ac:dyDescent="0.35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</row>
    <row r="421" spans="1:27" ht="15" thickBot="1" x14ac:dyDescent="0.35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</row>
    <row r="422" spans="1:27" ht="15" thickBot="1" x14ac:dyDescent="0.35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</row>
    <row r="423" spans="1:27" ht="15" thickBot="1" x14ac:dyDescent="0.35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</row>
    <row r="424" spans="1:27" ht="15" thickBot="1" x14ac:dyDescent="0.35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</row>
    <row r="425" spans="1:27" ht="15" thickBot="1" x14ac:dyDescent="0.3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</row>
    <row r="426" spans="1:27" ht="15" thickBot="1" x14ac:dyDescent="0.35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</row>
    <row r="427" spans="1:27" ht="15" thickBot="1" x14ac:dyDescent="0.35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</row>
    <row r="428" spans="1:27" ht="15" thickBot="1" x14ac:dyDescent="0.35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</row>
    <row r="429" spans="1:27" ht="15" thickBot="1" x14ac:dyDescent="0.35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</row>
    <row r="430" spans="1:27" ht="15" thickBot="1" x14ac:dyDescent="0.35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</row>
    <row r="431" spans="1:27" ht="15" thickBot="1" x14ac:dyDescent="0.35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</row>
    <row r="432" spans="1:27" ht="15" thickBot="1" x14ac:dyDescent="0.35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</row>
    <row r="433" spans="1:27" ht="15" thickBot="1" x14ac:dyDescent="0.35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</row>
    <row r="434" spans="1:27" ht="15" thickBot="1" x14ac:dyDescent="0.35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</row>
    <row r="435" spans="1:27" ht="15" thickBot="1" x14ac:dyDescent="0.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</row>
    <row r="436" spans="1:27" ht="15" thickBot="1" x14ac:dyDescent="0.35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</row>
    <row r="437" spans="1:27" ht="15" thickBot="1" x14ac:dyDescent="0.35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</row>
    <row r="438" spans="1:27" ht="15" thickBot="1" x14ac:dyDescent="0.35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</row>
    <row r="439" spans="1:27" ht="15" thickBot="1" x14ac:dyDescent="0.35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</row>
    <row r="440" spans="1:27" ht="15" thickBot="1" x14ac:dyDescent="0.35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</row>
    <row r="441" spans="1:27" ht="15" thickBot="1" x14ac:dyDescent="0.35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</row>
    <row r="442" spans="1:27" ht="15" thickBot="1" x14ac:dyDescent="0.35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</row>
    <row r="443" spans="1:27" ht="15" thickBot="1" x14ac:dyDescent="0.35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</row>
    <row r="444" spans="1:27" ht="15" thickBot="1" x14ac:dyDescent="0.35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</row>
    <row r="445" spans="1:27" ht="15" thickBot="1" x14ac:dyDescent="0.3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</row>
    <row r="446" spans="1:27" ht="15" thickBot="1" x14ac:dyDescent="0.35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</row>
    <row r="447" spans="1:27" ht="15" thickBot="1" x14ac:dyDescent="0.35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</row>
    <row r="448" spans="1:27" ht="15" thickBot="1" x14ac:dyDescent="0.35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</row>
    <row r="449" spans="1:27" ht="15" thickBot="1" x14ac:dyDescent="0.35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</row>
    <row r="450" spans="1:27" ht="15" thickBot="1" x14ac:dyDescent="0.35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</row>
    <row r="451" spans="1:27" ht="15" thickBot="1" x14ac:dyDescent="0.35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</row>
    <row r="452" spans="1:27" ht="15" thickBot="1" x14ac:dyDescent="0.35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</row>
    <row r="453" spans="1:27" ht="15" thickBot="1" x14ac:dyDescent="0.35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</row>
    <row r="454" spans="1:27" ht="15" thickBot="1" x14ac:dyDescent="0.35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</row>
    <row r="455" spans="1:27" ht="15" thickBot="1" x14ac:dyDescent="0.3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</row>
    <row r="456" spans="1:27" ht="15" thickBot="1" x14ac:dyDescent="0.35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</row>
    <row r="457" spans="1:27" ht="15" thickBot="1" x14ac:dyDescent="0.35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</row>
    <row r="458" spans="1:27" ht="15" thickBot="1" x14ac:dyDescent="0.35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</row>
    <row r="459" spans="1:27" ht="15" thickBot="1" x14ac:dyDescent="0.35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</row>
    <row r="460" spans="1:27" ht="15" thickBot="1" x14ac:dyDescent="0.35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</row>
    <row r="461" spans="1:27" ht="15" thickBot="1" x14ac:dyDescent="0.35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</row>
    <row r="462" spans="1:27" ht="15" thickBot="1" x14ac:dyDescent="0.35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</row>
    <row r="463" spans="1:27" ht="15" thickBot="1" x14ac:dyDescent="0.35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</row>
    <row r="464" spans="1:27" ht="15" thickBot="1" x14ac:dyDescent="0.35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</row>
    <row r="465" spans="1:27" ht="15" thickBot="1" x14ac:dyDescent="0.3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</row>
    <row r="466" spans="1:27" ht="15" thickBot="1" x14ac:dyDescent="0.35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</row>
    <row r="467" spans="1:27" ht="15" thickBot="1" x14ac:dyDescent="0.35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</row>
    <row r="468" spans="1:27" ht="15" thickBot="1" x14ac:dyDescent="0.35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</row>
    <row r="469" spans="1:27" ht="15" thickBot="1" x14ac:dyDescent="0.35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</row>
    <row r="470" spans="1:27" ht="15" thickBot="1" x14ac:dyDescent="0.35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</row>
    <row r="471" spans="1:27" ht="15" thickBot="1" x14ac:dyDescent="0.35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</row>
    <row r="472" spans="1:27" ht="15" thickBot="1" x14ac:dyDescent="0.35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</row>
    <row r="473" spans="1:27" ht="15" thickBot="1" x14ac:dyDescent="0.35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</row>
    <row r="474" spans="1:27" ht="15" thickBot="1" x14ac:dyDescent="0.35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</row>
    <row r="475" spans="1:27" ht="15" thickBot="1" x14ac:dyDescent="0.3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</row>
    <row r="476" spans="1:27" ht="15" thickBot="1" x14ac:dyDescent="0.35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</row>
    <row r="477" spans="1:27" ht="15" thickBot="1" x14ac:dyDescent="0.35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</row>
    <row r="478" spans="1:27" ht="15" thickBot="1" x14ac:dyDescent="0.35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</row>
    <row r="479" spans="1:27" ht="15" thickBot="1" x14ac:dyDescent="0.35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</row>
    <row r="480" spans="1:27" ht="15" thickBot="1" x14ac:dyDescent="0.35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</row>
    <row r="481" spans="1:27" ht="15" thickBot="1" x14ac:dyDescent="0.35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</row>
    <row r="482" spans="1:27" ht="15" thickBot="1" x14ac:dyDescent="0.35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</row>
    <row r="483" spans="1:27" ht="15" thickBot="1" x14ac:dyDescent="0.35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</row>
    <row r="484" spans="1:27" ht="15" thickBot="1" x14ac:dyDescent="0.35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</row>
    <row r="485" spans="1:27" ht="15" thickBot="1" x14ac:dyDescent="0.3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</row>
    <row r="486" spans="1:27" ht="15" thickBot="1" x14ac:dyDescent="0.35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</row>
    <row r="487" spans="1:27" ht="15" thickBot="1" x14ac:dyDescent="0.35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</row>
    <row r="488" spans="1:27" ht="15" thickBot="1" x14ac:dyDescent="0.35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</row>
    <row r="489" spans="1:27" ht="15" thickBot="1" x14ac:dyDescent="0.35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</row>
    <row r="490" spans="1:27" ht="15" thickBot="1" x14ac:dyDescent="0.35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</row>
    <row r="491" spans="1:27" ht="15" thickBot="1" x14ac:dyDescent="0.35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</row>
    <row r="492" spans="1:27" ht="15" thickBot="1" x14ac:dyDescent="0.35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</row>
    <row r="493" spans="1:27" ht="15" thickBot="1" x14ac:dyDescent="0.35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</row>
    <row r="494" spans="1:27" ht="15" thickBot="1" x14ac:dyDescent="0.35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</row>
    <row r="495" spans="1:27" ht="15" thickBot="1" x14ac:dyDescent="0.3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</row>
    <row r="496" spans="1:27" ht="15" thickBot="1" x14ac:dyDescent="0.35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</row>
    <row r="497" spans="1:27" ht="15" thickBot="1" x14ac:dyDescent="0.35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</row>
    <row r="498" spans="1:27" ht="15" thickBot="1" x14ac:dyDescent="0.35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</row>
    <row r="499" spans="1:27" ht="15" thickBot="1" x14ac:dyDescent="0.35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</row>
    <row r="500" spans="1:27" ht="15" thickBot="1" x14ac:dyDescent="0.35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</row>
    <row r="501" spans="1:27" ht="15" thickBot="1" x14ac:dyDescent="0.35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</row>
    <row r="502" spans="1:27" ht="15" thickBot="1" x14ac:dyDescent="0.35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</row>
    <row r="503" spans="1:27" ht="15" thickBot="1" x14ac:dyDescent="0.35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</row>
    <row r="504" spans="1:27" ht="15" thickBot="1" x14ac:dyDescent="0.35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</row>
    <row r="505" spans="1:27" ht="15" thickBot="1" x14ac:dyDescent="0.3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</row>
    <row r="506" spans="1:27" ht="15" thickBot="1" x14ac:dyDescent="0.35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</row>
    <row r="507" spans="1:27" ht="15" thickBot="1" x14ac:dyDescent="0.35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</row>
    <row r="508" spans="1:27" ht="15" thickBot="1" x14ac:dyDescent="0.35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</row>
    <row r="509" spans="1:27" ht="15" thickBot="1" x14ac:dyDescent="0.35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</row>
    <row r="510" spans="1:27" ht="15" thickBot="1" x14ac:dyDescent="0.35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</row>
    <row r="511" spans="1:27" ht="15" thickBot="1" x14ac:dyDescent="0.35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</row>
    <row r="512" spans="1:27" ht="15" thickBot="1" x14ac:dyDescent="0.35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</row>
    <row r="513" spans="1:27" ht="15" thickBot="1" x14ac:dyDescent="0.35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</row>
    <row r="514" spans="1:27" ht="15" thickBot="1" x14ac:dyDescent="0.35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</row>
    <row r="515" spans="1:27" ht="15" thickBot="1" x14ac:dyDescent="0.3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</row>
    <row r="516" spans="1:27" ht="15" thickBot="1" x14ac:dyDescent="0.35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</row>
    <row r="517" spans="1:27" ht="15" thickBot="1" x14ac:dyDescent="0.35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</row>
    <row r="518" spans="1:27" ht="15" thickBot="1" x14ac:dyDescent="0.35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</row>
    <row r="519" spans="1:27" ht="15" thickBot="1" x14ac:dyDescent="0.35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</row>
    <row r="520" spans="1:27" ht="15" thickBot="1" x14ac:dyDescent="0.35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</row>
    <row r="521" spans="1:27" ht="15" thickBot="1" x14ac:dyDescent="0.35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</row>
    <row r="522" spans="1:27" ht="15" thickBot="1" x14ac:dyDescent="0.35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</row>
    <row r="523" spans="1:27" ht="15" thickBot="1" x14ac:dyDescent="0.35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</row>
    <row r="524" spans="1:27" ht="15" thickBot="1" x14ac:dyDescent="0.35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</row>
    <row r="525" spans="1:27" ht="15" thickBot="1" x14ac:dyDescent="0.3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</row>
    <row r="526" spans="1:27" ht="15" thickBot="1" x14ac:dyDescent="0.35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</row>
    <row r="527" spans="1:27" ht="15" thickBot="1" x14ac:dyDescent="0.35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</row>
    <row r="528" spans="1:27" ht="15" thickBot="1" x14ac:dyDescent="0.35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</row>
    <row r="529" spans="1:27" ht="15" thickBot="1" x14ac:dyDescent="0.35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</row>
    <row r="530" spans="1:27" ht="15" thickBot="1" x14ac:dyDescent="0.35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</row>
    <row r="531" spans="1:27" ht="15" thickBot="1" x14ac:dyDescent="0.35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</row>
    <row r="532" spans="1:27" ht="15" thickBot="1" x14ac:dyDescent="0.35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</row>
    <row r="533" spans="1:27" ht="15" thickBot="1" x14ac:dyDescent="0.35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</row>
    <row r="534" spans="1:27" ht="15" thickBot="1" x14ac:dyDescent="0.35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</row>
    <row r="535" spans="1:27" ht="15" thickBot="1" x14ac:dyDescent="0.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</row>
    <row r="536" spans="1:27" ht="15" thickBot="1" x14ac:dyDescent="0.35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</row>
    <row r="537" spans="1:27" ht="15" thickBot="1" x14ac:dyDescent="0.35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</row>
    <row r="538" spans="1:27" ht="15" thickBot="1" x14ac:dyDescent="0.35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</row>
    <row r="539" spans="1:27" ht="15" thickBot="1" x14ac:dyDescent="0.35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</row>
    <row r="540" spans="1:27" ht="15" thickBot="1" x14ac:dyDescent="0.35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</row>
    <row r="541" spans="1:27" ht="15" thickBot="1" x14ac:dyDescent="0.35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</row>
    <row r="542" spans="1:27" ht="15" thickBot="1" x14ac:dyDescent="0.35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</row>
    <row r="543" spans="1:27" ht="15" thickBot="1" x14ac:dyDescent="0.35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</row>
    <row r="544" spans="1:27" ht="15" thickBot="1" x14ac:dyDescent="0.35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</row>
    <row r="545" spans="1:27" ht="15" thickBot="1" x14ac:dyDescent="0.3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</row>
    <row r="546" spans="1:27" ht="15" thickBot="1" x14ac:dyDescent="0.35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</row>
    <row r="547" spans="1:27" ht="15" thickBot="1" x14ac:dyDescent="0.35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</row>
    <row r="548" spans="1:27" ht="15" thickBot="1" x14ac:dyDescent="0.35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</row>
    <row r="549" spans="1:27" ht="15" thickBot="1" x14ac:dyDescent="0.35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</row>
    <row r="550" spans="1:27" ht="15" thickBot="1" x14ac:dyDescent="0.35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</row>
    <row r="551" spans="1:27" ht="15" thickBot="1" x14ac:dyDescent="0.35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</row>
    <row r="552" spans="1:27" ht="15" thickBot="1" x14ac:dyDescent="0.35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</row>
    <row r="553" spans="1:27" ht="15" thickBot="1" x14ac:dyDescent="0.35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</row>
    <row r="554" spans="1:27" ht="15" thickBot="1" x14ac:dyDescent="0.35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</row>
    <row r="555" spans="1:27" ht="15" thickBot="1" x14ac:dyDescent="0.3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</row>
    <row r="556" spans="1:27" ht="15" thickBot="1" x14ac:dyDescent="0.35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</row>
    <row r="557" spans="1:27" ht="15" thickBot="1" x14ac:dyDescent="0.35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</row>
    <row r="558" spans="1:27" ht="15" thickBot="1" x14ac:dyDescent="0.35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</row>
    <row r="559" spans="1:27" ht="15" thickBot="1" x14ac:dyDescent="0.35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</row>
    <row r="560" spans="1:27" ht="15" thickBot="1" x14ac:dyDescent="0.35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</row>
    <row r="561" spans="1:27" ht="15" thickBot="1" x14ac:dyDescent="0.35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</row>
    <row r="562" spans="1:27" ht="15" thickBot="1" x14ac:dyDescent="0.35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</row>
    <row r="563" spans="1:27" ht="15" thickBot="1" x14ac:dyDescent="0.35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</row>
    <row r="564" spans="1:27" ht="15" thickBot="1" x14ac:dyDescent="0.35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</row>
    <row r="565" spans="1:27" ht="15" thickBot="1" x14ac:dyDescent="0.3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</row>
    <row r="566" spans="1:27" ht="15" thickBot="1" x14ac:dyDescent="0.35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</row>
    <row r="567" spans="1:27" ht="15" thickBot="1" x14ac:dyDescent="0.35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</row>
    <row r="568" spans="1:27" ht="15" thickBot="1" x14ac:dyDescent="0.35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</row>
    <row r="569" spans="1:27" ht="15" thickBot="1" x14ac:dyDescent="0.35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</row>
    <row r="570" spans="1:27" ht="15" thickBot="1" x14ac:dyDescent="0.35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</row>
    <row r="571" spans="1:27" ht="15" thickBot="1" x14ac:dyDescent="0.35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</row>
    <row r="572" spans="1:27" ht="15" thickBot="1" x14ac:dyDescent="0.35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</row>
    <row r="573" spans="1:27" ht="15" thickBot="1" x14ac:dyDescent="0.35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</row>
    <row r="574" spans="1:27" ht="15" thickBot="1" x14ac:dyDescent="0.35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</row>
    <row r="575" spans="1:27" ht="15" thickBot="1" x14ac:dyDescent="0.3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</row>
    <row r="576" spans="1:27" ht="15" thickBot="1" x14ac:dyDescent="0.35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</row>
    <row r="577" spans="1:27" ht="15" thickBot="1" x14ac:dyDescent="0.35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</row>
    <row r="578" spans="1:27" ht="15" thickBot="1" x14ac:dyDescent="0.35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</row>
    <row r="579" spans="1:27" ht="15" thickBot="1" x14ac:dyDescent="0.35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</row>
    <row r="580" spans="1:27" ht="15" thickBot="1" x14ac:dyDescent="0.35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</row>
    <row r="581" spans="1:27" ht="15" thickBot="1" x14ac:dyDescent="0.35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</row>
    <row r="582" spans="1:27" ht="15" thickBot="1" x14ac:dyDescent="0.35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</row>
    <row r="583" spans="1:27" ht="15" thickBot="1" x14ac:dyDescent="0.35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</row>
    <row r="584" spans="1:27" ht="15" thickBot="1" x14ac:dyDescent="0.35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</row>
    <row r="585" spans="1:27" ht="15" thickBot="1" x14ac:dyDescent="0.3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</row>
    <row r="586" spans="1:27" ht="15" thickBot="1" x14ac:dyDescent="0.35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</row>
    <row r="587" spans="1:27" ht="15" thickBot="1" x14ac:dyDescent="0.35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</row>
    <row r="588" spans="1:27" ht="15" thickBot="1" x14ac:dyDescent="0.35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</row>
    <row r="589" spans="1:27" ht="15" thickBot="1" x14ac:dyDescent="0.35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</row>
    <row r="590" spans="1:27" ht="15" thickBot="1" x14ac:dyDescent="0.35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</row>
    <row r="591" spans="1:27" ht="15" thickBot="1" x14ac:dyDescent="0.35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</row>
    <row r="592" spans="1:27" ht="15" thickBot="1" x14ac:dyDescent="0.35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</row>
    <row r="593" spans="1:27" ht="15" thickBot="1" x14ac:dyDescent="0.35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</row>
    <row r="594" spans="1:27" ht="15" thickBot="1" x14ac:dyDescent="0.35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</row>
    <row r="595" spans="1:27" ht="15" thickBot="1" x14ac:dyDescent="0.3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</row>
    <row r="596" spans="1:27" ht="15" thickBot="1" x14ac:dyDescent="0.35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</row>
    <row r="597" spans="1:27" ht="15" thickBot="1" x14ac:dyDescent="0.35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</row>
    <row r="598" spans="1:27" ht="15" thickBot="1" x14ac:dyDescent="0.35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</row>
    <row r="599" spans="1:27" ht="15" thickBot="1" x14ac:dyDescent="0.35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</row>
    <row r="600" spans="1:27" ht="15" thickBot="1" x14ac:dyDescent="0.35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</row>
    <row r="601" spans="1:27" ht="15" thickBot="1" x14ac:dyDescent="0.35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</row>
    <row r="602" spans="1:27" ht="15" thickBot="1" x14ac:dyDescent="0.35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</row>
    <row r="603" spans="1:27" ht="15" thickBot="1" x14ac:dyDescent="0.35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</row>
    <row r="604" spans="1:27" ht="15" thickBot="1" x14ac:dyDescent="0.35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</row>
    <row r="605" spans="1:27" ht="15" thickBot="1" x14ac:dyDescent="0.3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</row>
    <row r="606" spans="1:27" ht="15" thickBot="1" x14ac:dyDescent="0.35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</row>
    <row r="607" spans="1:27" ht="15" thickBot="1" x14ac:dyDescent="0.35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</row>
    <row r="608" spans="1:27" ht="15" thickBot="1" x14ac:dyDescent="0.35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</row>
    <row r="609" spans="1:27" ht="15" thickBot="1" x14ac:dyDescent="0.35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</row>
    <row r="610" spans="1:27" ht="15" thickBot="1" x14ac:dyDescent="0.35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</row>
    <row r="611" spans="1:27" ht="15" thickBot="1" x14ac:dyDescent="0.35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</row>
    <row r="612" spans="1:27" ht="15" thickBot="1" x14ac:dyDescent="0.35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</row>
    <row r="613" spans="1:27" ht="15" thickBot="1" x14ac:dyDescent="0.35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</row>
    <row r="614" spans="1:27" ht="15" thickBot="1" x14ac:dyDescent="0.35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</row>
    <row r="615" spans="1:27" ht="15" thickBot="1" x14ac:dyDescent="0.3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</row>
    <row r="616" spans="1:27" ht="15" thickBot="1" x14ac:dyDescent="0.35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</row>
    <row r="617" spans="1:27" ht="15" thickBot="1" x14ac:dyDescent="0.35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</row>
    <row r="618" spans="1:27" ht="15" thickBot="1" x14ac:dyDescent="0.35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</row>
    <row r="619" spans="1:27" ht="15" thickBot="1" x14ac:dyDescent="0.35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</row>
    <row r="620" spans="1:27" ht="15" thickBot="1" x14ac:dyDescent="0.35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</row>
    <row r="621" spans="1:27" ht="15" thickBot="1" x14ac:dyDescent="0.35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</row>
    <row r="622" spans="1:27" ht="15" thickBot="1" x14ac:dyDescent="0.35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</row>
    <row r="623" spans="1:27" ht="15" thickBot="1" x14ac:dyDescent="0.35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</row>
    <row r="624" spans="1:27" ht="15" thickBot="1" x14ac:dyDescent="0.35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</row>
    <row r="625" spans="1:27" ht="15" thickBot="1" x14ac:dyDescent="0.3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</row>
    <row r="626" spans="1:27" ht="15" thickBot="1" x14ac:dyDescent="0.35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</row>
    <row r="627" spans="1:27" ht="15" thickBot="1" x14ac:dyDescent="0.35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</row>
    <row r="628" spans="1:27" ht="15" thickBot="1" x14ac:dyDescent="0.35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</row>
    <row r="629" spans="1:27" ht="15" thickBot="1" x14ac:dyDescent="0.35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</row>
    <row r="630" spans="1:27" ht="15" thickBot="1" x14ac:dyDescent="0.35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</row>
    <row r="631" spans="1:27" ht="15" thickBot="1" x14ac:dyDescent="0.35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</row>
    <row r="632" spans="1:27" ht="15" thickBot="1" x14ac:dyDescent="0.35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</row>
    <row r="633" spans="1:27" ht="15" thickBot="1" x14ac:dyDescent="0.35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</row>
    <row r="634" spans="1:27" ht="15" thickBot="1" x14ac:dyDescent="0.35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</row>
    <row r="635" spans="1:27" ht="15" thickBot="1" x14ac:dyDescent="0.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</row>
    <row r="636" spans="1:27" ht="15" thickBot="1" x14ac:dyDescent="0.35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</row>
    <row r="637" spans="1:27" ht="15" thickBot="1" x14ac:dyDescent="0.35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</row>
    <row r="638" spans="1:27" ht="15" thickBot="1" x14ac:dyDescent="0.35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</row>
    <row r="639" spans="1:27" ht="15" thickBot="1" x14ac:dyDescent="0.35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</row>
    <row r="640" spans="1:27" ht="15" thickBot="1" x14ac:dyDescent="0.35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</row>
    <row r="641" spans="1:27" ht="15" thickBot="1" x14ac:dyDescent="0.35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</row>
    <row r="642" spans="1:27" ht="15" thickBot="1" x14ac:dyDescent="0.35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</row>
    <row r="643" spans="1:27" ht="15" thickBot="1" x14ac:dyDescent="0.35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</row>
    <row r="644" spans="1:27" ht="15" thickBot="1" x14ac:dyDescent="0.35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</row>
    <row r="645" spans="1:27" ht="15" thickBot="1" x14ac:dyDescent="0.3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</row>
    <row r="646" spans="1:27" ht="15" thickBot="1" x14ac:dyDescent="0.35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</row>
    <row r="647" spans="1:27" ht="15" thickBot="1" x14ac:dyDescent="0.35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</row>
    <row r="648" spans="1:27" ht="15" thickBot="1" x14ac:dyDescent="0.35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</row>
    <row r="649" spans="1:27" ht="15" thickBot="1" x14ac:dyDescent="0.35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</row>
    <row r="650" spans="1:27" ht="15" thickBot="1" x14ac:dyDescent="0.35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</row>
    <row r="651" spans="1:27" ht="15" thickBot="1" x14ac:dyDescent="0.35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</row>
    <row r="652" spans="1:27" ht="15" thickBot="1" x14ac:dyDescent="0.35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</row>
    <row r="653" spans="1:27" ht="15" thickBot="1" x14ac:dyDescent="0.35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</row>
    <row r="654" spans="1:27" ht="15" thickBot="1" x14ac:dyDescent="0.35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</row>
    <row r="655" spans="1:27" ht="15" thickBot="1" x14ac:dyDescent="0.3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</row>
    <row r="656" spans="1:27" ht="15" thickBot="1" x14ac:dyDescent="0.35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</row>
    <row r="657" spans="1:27" ht="15" thickBot="1" x14ac:dyDescent="0.35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</row>
    <row r="658" spans="1:27" ht="15" thickBot="1" x14ac:dyDescent="0.35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</row>
    <row r="659" spans="1:27" ht="15" thickBot="1" x14ac:dyDescent="0.35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</row>
    <row r="660" spans="1:27" ht="15" thickBot="1" x14ac:dyDescent="0.35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</row>
    <row r="661" spans="1:27" ht="15" thickBot="1" x14ac:dyDescent="0.35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</row>
    <row r="662" spans="1:27" ht="15" thickBot="1" x14ac:dyDescent="0.35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</row>
    <row r="663" spans="1:27" ht="15" thickBot="1" x14ac:dyDescent="0.35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</row>
    <row r="664" spans="1:27" ht="15" thickBot="1" x14ac:dyDescent="0.35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</row>
    <row r="665" spans="1:27" ht="15" thickBot="1" x14ac:dyDescent="0.3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</row>
    <row r="666" spans="1:27" ht="15" thickBot="1" x14ac:dyDescent="0.35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</row>
    <row r="667" spans="1:27" ht="15" thickBot="1" x14ac:dyDescent="0.35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</row>
    <row r="668" spans="1:27" ht="15" thickBot="1" x14ac:dyDescent="0.35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</row>
    <row r="669" spans="1:27" ht="15" thickBot="1" x14ac:dyDescent="0.35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</row>
    <row r="670" spans="1:27" ht="15" thickBot="1" x14ac:dyDescent="0.35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</row>
    <row r="671" spans="1:27" ht="15" thickBot="1" x14ac:dyDescent="0.35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</row>
    <row r="672" spans="1:27" ht="15" thickBot="1" x14ac:dyDescent="0.35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</row>
    <row r="673" spans="1:27" ht="15" thickBot="1" x14ac:dyDescent="0.35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</row>
    <row r="674" spans="1:27" ht="15" thickBot="1" x14ac:dyDescent="0.35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</row>
    <row r="675" spans="1:27" ht="15" thickBot="1" x14ac:dyDescent="0.3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</row>
    <row r="676" spans="1:27" ht="15" thickBot="1" x14ac:dyDescent="0.35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</row>
    <row r="677" spans="1:27" ht="15" thickBot="1" x14ac:dyDescent="0.35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</row>
    <row r="678" spans="1:27" ht="15" thickBot="1" x14ac:dyDescent="0.35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</row>
    <row r="679" spans="1:27" ht="15" thickBot="1" x14ac:dyDescent="0.35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</row>
    <row r="680" spans="1:27" ht="15" thickBot="1" x14ac:dyDescent="0.35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</row>
    <row r="681" spans="1:27" ht="15" thickBot="1" x14ac:dyDescent="0.35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</row>
    <row r="682" spans="1:27" ht="15" thickBot="1" x14ac:dyDescent="0.35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</row>
    <row r="683" spans="1:27" ht="15" thickBot="1" x14ac:dyDescent="0.35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</row>
    <row r="684" spans="1:27" ht="15" thickBot="1" x14ac:dyDescent="0.35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</row>
    <row r="685" spans="1:27" ht="15" thickBot="1" x14ac:dyDescent="0.3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</row>
    <row r="686" spans="1:27" ht="15" thickBot="1" x14ac:dyDescent="0.35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</row>
    <row r="687" spans="1:27" ht="15" thickBot="1" x14ac:dyDescent="0.35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</row>
    <row r="688" spans="1:27" ht="15" thickBot="1" x14ac:dyDescent="0.35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</row>
    <row r="689" spans="1:27" ht="15" thickBot="1" x14ac:dyDescent="0.35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</row>
    <row r="690" spans="1:27" ht="15" thickBot="1" x14ac:dyDescent="0.35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</row>
    <row r="691" spans="1:27" ht="15" thickBot="1" x14ac:dyDescent="0.35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</row>
    <row r="692" spans="1:27" ht="15" thickBot="1" x14ac:dyDescent="0.35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</row>
    <row r="693" spans="1:27" ht="15" thickBot="1" x14ac:dyDescent="0.35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</row>
    <row r="694" spans="1:27" ht="15" thickBot="1" x14ac:dyDescent="0.35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</row>
    <row r="695" spans="1:27" ht="15" thickBot="1" x14ac:dyDescent="0.3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</row>
    <row r="696" spans="1:27" ht="15" thickBot="1" x14ac:dyDescent="0.35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</row>
    <row r="697" spans="1:27" ht="15" thickBot="1" x14ac:dyDescent="0.35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</row>
    <row r="698" spans="1:27" ht="15" thickBot="1" x14ac:dyDescent="0.35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</row>
    <row r="699" spans="1:27" ht="15" thickBot="1" x14ac:dyDescent="0.35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</row>
    <row r="700" spans="1:27" ht="15" thickBot="1" x14ac:dyDescent="0.35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</row>
    <row r="701" spans="1:27" ht="15" thickBot="1" x14ac:dyDescent="0.35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</row>
    <row r="702" spans="1:27" ht="15" thickBot="1" x14ac:dyDescent="0.35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</row>
    <row r="703" spans="1:27" ht="15" thickBot="1" x14ac:dyDescent="0.35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</row>
    <row r="704" spans="1:27" ht="15" thickBot="1" x14ac:dyDescent="0.35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</row>
    <row r="705" spans="1:27" ht="15" thickBot="1" x14ac:dyDescent="0.3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</row>
    <row r="706" spans="1:27" ht="15" thickBot="1" x14ac:dyDescent="0.35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</row>
    <row r="707" spans="1:27" ht="15" thickBot="1" x14ac:dyDescent="0.35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</row>
    <row r="708" spans="1:27" ht="15" thickBot="1" x14ac:dyDescent="0.35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</row>
    <row r="709" spans="1:27" ht="15" thickBot="1" x14ac:dyDescent="0.35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</row>
    <row r="710" spans="1:27" ht="15" thickBot="1" x14ac:dyDescent="0.35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</row>
    <row r="711" spans="1:27" ht="15" thickBot="1" x14ac:dyDescent="0.35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</row>
    <row r="712" spans="1:27" ht="15" thickBot="1" x14ac:dyDescent="0.35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</row>
    <row r="713" spans="1:27" ht="15" thickBot="1" x14ac:dyDescent="0.35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</row>
    <row r="714" spans="1:27" ht="15" thickBot="1" x14ac:dyDescent="0.35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</row>
    <row r="715" spans="1:27" ht="15" thickBot="1" x14ac:dyDescent="0.3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</row>
    <row r="716" spans="1:27" ht="15" thickBot="1" x14ac:dyDescent="0.35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</row>
    <row r="717" spans="1:27" ht="15" thickBot="1" x14ac:dyDescent="0.35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</row>
    <row r="718" spans="1:27" ht="15" thickBot="1" x14ac:dyDescent="0.35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</row>
    <row r="719" spans="1:27" ht="15" thickBot="1" x14ac:dyDescent="0.35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</row>
    <row r="720" spans="1:27" ht="15" thickBot="1" x14ac:dyDescent="0.35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</row>
    <row r="721" spans="1:27" ht="15" thickBot="1" x14ac:dyDescent="0.35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</row>
    <row r="722" spans="1:27" ht="15" thickBot="1" x14ac:dyDescent="0.35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</row>
    <row r="723" spans="1:27" ht="15" thickBot="1" x14ac:dyDescent="0.35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</row>
    <row r="724" spans="1:27" ht="15" thickBot="1" x14ac:dyDescent="0.35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</row>
    <row r="725" spans="1:27" ht="15" thickBot="1" x14ac:dyDescent="0.3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</row>
    <row r="726" spans="1:27" ht="15" thickBot="1" x14ac:dyDescent="0.35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</row>
    <row r="727" spans="1:27" ht="15" thickBot="1" x14ac:dyDescent="0.35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</row>
    <row r="728" spans="1:27" ht="15" thickBot="1" x14ac:dyDescent="0.35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</row>
    <row r="729" spans="1:27" ht="15" thickBot="1" x14ac:dyDescent="0.35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</row>
    <row r="730" spans="1:27" ht="15" thickBot="1" x14ac:dyDescent="0.35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</row>
    <row r="731" spans="1:27" ht="15" thickBot="1" x14ac:dyDescent="0.35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</row>
    <row r="732" spans="1:27" ht="15" thickBot="1" x14ac:dyDescent="0.35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</row>
    <row r="733" spans="1:27" ht="15" thickBot="1" x14ac:dyDescent="0.35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</row>
    <row r="734" spans="1:27" ht="15" thickBot="1" x14ac:dyDescent="0.35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</row>
    <row r="735" spans="1:27" ht="15" thickBot="1" x14ac:dyDescent="0.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</row>
    <row r="736" spans="1:27" ht="15" thickBot="1" x14ac:dyDescent="0.35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</row>
    <row r="737" spans="1:27" ht="15" thickBot="1" x14ac:dyDescent="0.35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</row>
    <row r="738" spans="1:27" ht="15" thickBot="1" x14ac:dyDescent="0.35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</row>
    <row r="739" spans="1:27" ht="15" thickBot="1" x14ac:dyDescent="0.35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</row>
    <row r="740" spans="1:27" ht="15" thickBot="1" x14ac:dyDescent="0.35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</row>
    <row r="741" spans="1:27" ht="15" thickBot="1" x14ac:dyDescent="0.35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</row>
    <row r="742" spans="1:27" ht="15" thickBot="1" x14ac:dyDescent="0.35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</row>
    <row r="743" spans="1:27" ht="15" thickBot="1" x14ac:dyDescent="0.35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</row>
    <row r="744" spans="1:27" ht="15" thickBot="1" x14ac:dyDescent="0.35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</row>
    <row r="745" spans="1:27" ht="15" thickBot="1" x14ac:dyDescent="0.3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</row>
    <row r="746" spans="1:27" ht="15" thickBot="1" x14ac:dyDescent="0.35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</row>
    <row r="747" spans="1:27" ht="15" thickBot="1" x14ac:dyDescent="0.35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</row>
    <row r="748" spans="1:27" ht="15" thickBot="1" x14ac:dyDescent="0.35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</row>
    <row r="749" spans="1:27" ht="15" thickBot="1" x14ac:dyDescent="0.35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</row>
    <row r="750" spans="1:27" ht="15" thickBot="1" x14ac:dyDescent="0.35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</row>
    <row r="751" spans="1:27" ht="15" thickBot="1" x14ac:dyDescent="0.35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</row>
    <row r="752" spans="1:27" ht="15" thickBot="1" x14ac:dyDescent="0.35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</row>
    <row r="753" spans="1:27" ht="15" thickBot="1" x14ac:dyDescent="0.35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</row>
    <row r="754" spans="1:27" ht="15" thickBot="1" x14ac:dyDescent="0.35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</row>
    <row r="755" spans="1:27" ht="15" thickBot="1" x14ac:dyDescent="0.3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</row>
    <row r="756" spans="1:27" ht="15" thickBot="1" x14ac:dyDescent="0.35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</row>
    <row r="757" spans="1:27" ht="15" thickBot="1" x14ac:dyDescent="0.35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</row>
    <row r="758" spans="1:27" ht="15" thickBot="1" x14ac:dyDescent="0.35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</row>
    <row r="759" spans="1:27" ht="15" thickBot="1" x14ac:dyDescent="0.35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</row>
    <row r="760" spans="1:27" ht="15" thickBot="1" x14ac:dyDescent="0.35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</row>
    <row r="761" spans="1:27" ht="15" thickBot="1" x14ac:dyDescent="0.35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</row>
    <row r="762" spans="1:27" ht="15" thickBot="1" x14ac:dyDescent="0.35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</row>
    <row r="763" spans="1:27" ht="15" thickBot="1" x14ac:dyDescent="0.35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</row>
    <row r="764" spans="1:27" ht="15" thickBot="1" x14ac:dyDescent="0.35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</row>
    <row r="765" spans="1:27" ht="15" thickBot="1" x14ac:dyDescent="0.3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</row>
    <row r="766" spans="1:27" ht="15" thickBot="1" x14ac:dyDescent="0.35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</row>
    <row r="767" spans="1:27" ht="15" thickBot="1" x14ac:dyDescent="0.35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</row>
    <row r="768" spans="1:27" ht="15" thickBot="1" x14ac:dyDescent="0.35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</row>
    <row r="769" spans="1:27" ht="15" thickBot="1" x14ac:dyDescent="0.35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</row>
    <row r="770" spans="1:27" ht="15" thickBot="1" x14ac:dyDescent="0.35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</row>
    <row r="771" spans="1:27" ht="15" thickBot="1" x14ac:dyDescent="0.35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</row>
    <row r="772" spans="1:27" ht="15" thickBot="1" x14ac:dyDescent="0.35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</row>
    <row r="773" spans="1:27" ht="15" thickBot="1" x14ac:dyDescent="0.35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</row>
    <row r="774" spans="1:27" ht="15" thickBot="1" x14ac:dyDescent="0.35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</row>
    <row r="775" spans="1:27" ht="15" thickBot="1" x14ac:dyDescent="0.3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</row>
    <row r="776" spans="1:27" ht="15" thickBot="1" x14ac:dyDescent="0.35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</row>
    <row r="777" spans="1:27" ht="15" thickBot="1" x14ac:dyDescent="0.35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</row>
    <row r="778" spans="1:27" ht="15" thickBot="1" x14ac:dyDescent="0.35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</row>
    <row r="779" spans="1:27" ht="15" thickBot="1" x14ac:dyDescent="0.35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</row>
    <row r="780" spans="1:27" ht="15" thickBot="1" x14ac:dyDescent="0.35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</row>
    <row r="781" spans="1:27" ht="15" thickBot="1" x14ac:dyDescent="0.35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</row>
    <row r="782" spans="1:27" ht="15" thickBot="1" x14ac:dyDescent="0.35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</row>
    <row r="783" spans="1:27" ht="15" thickBot="1" x14ac:dyDescent="0.35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</row>
    <row r="784" spans="1:27" ht="15" thickBot="1" x14ac:dyDescent="0.35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</row>
    <row r="785" spans="1:27" ht="15" thickBot="1" x14ac:dyDescent="0.3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</row>
    <row r="786" spans="1:27" ht="15" thickBot="1" x14ac:dyDescent="0.35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</row>
    <row r="787" spans="1:27" ht="15" thickBot="1" x14ac:dyDescent="0.35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</row>
    <row r="788" spans="1:27" ht="15" thickBot="1" x14ac:dyDescent="0.35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</row>
    <row r="789" spans="1:27" ht="15" thickBot="1" x14ac:dyDescent="0.35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</row>
    <row r="790" spans="1:27" ht="15" thickBot="1" x14ac:dyDescent="0.35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</row>
    <row r="791" spans="1:27" ht="15" thickBot="1" x14ac:dyDescent="0.35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</row>
    <row r="792" spans="1:27" ht="15" thickBot="1" x14ac:dyDescent="0.35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</row>
    <row r="793" spans="1:27" ht="15" thickBot="1" x14ac:dyDescent="0.35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</row>
    <row r="794" spans="1:27" ht="15" thickBot="1" x14ac:dyDescent="0.35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</row>
    <row r="795" spans="1:27" ht="15" thickBot="1" x14ac:dyDescent="0.3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</row>
    <row r="796" spans="1:27" ht="15" thickBot="1" x14ac:dyDescent="0.35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</row>
    <row r="797" spans="1:27" ht="15" thickBot="1" x14ac:dyDescent="0.35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</row>
    <row r="798" spans="1:27" ht="15" thickBot="1" x14ac:dyDescent="0.35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</row>
    <row r="799" spans="1:27" ht="15" thickBot="1" x14ac:dyDescent="0.35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</row>
    <row r="800" spans="1:27" ht="15" thickBot="1" x14ac:dyDescent="0.35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</row>
    <row r="801" spans="1:27" ht="15" thickBot="1" x14ac:dyDescent="0.35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</row>
    <row r="802" spans="1:27" ht="15" thickBot="1" x14ac:dyDescent="0.35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</row>
    <row r="803" spans="1:27" ht="15" thickBot="1" x14ac:dyDescent="0.35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</row>
    <row r="804" spans="1:27" ht="15" thickBot="1" x14ac:dyDescent="0.35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</row>
    <row r="805" spans="1:27" ht="15" thickBot="1" x14ac:dyDescent="0.3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</row>
    <row r="806" spans="1:27" ht="15" thickBot="1" x14ac:dyDescent="0.35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</row>
    <row r="807" spans="1:27" ht="15" thickBot="1" x14ac:dyDescent="0.35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</row>
    <row r="808" spans="1:27" ht="15" thickBot="1" x14ac:dyDescent="0.35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</row>
    <row r="809" spans="1:27" ht="15" thickBot="1" x14ac:dyDescent="0.35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</row>
    <row r="810" spans="1:27" ht="15" thickBot="1" x14ac:dyDescent="0.35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</row>
    <row r="811" spans="1:27" ht="15" thickBot="1" x14ac:dyDescent="0.35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</row>
    <row r="812" spans="1:27" ht="15" thickBot="1" x14ac:dyDescent="0.35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</row>
    <row r="813" spans="1:27" ht="15" thickBot="1" x14ac:dyDescent="0.35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</row>
    <row r="814" spans="1:27" ht="15" thickBot="1" x14ac:dyDescent="0.35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</row>
    <row r="815" spans="1:27" ht="15" thickBot="1" x14ac:dyDescent="0.3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</row>
    <row r="816" spans="1:27" ht="15" thickBot="1" x14ac:dyDescent="0.35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</row>
    <row r="817" spans="1:27" ht="15" thickBot="1" x14ac:dyDescent="0.35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</row>
    <row r="818" spans="1:27" ht="15" thickBot="1" x14ac:dyDescent="0.35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</row>
    <row r="819" spans="1:27" ht="15" thickBot="1" x14ac:dyDescent="0.35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</row>
    <row r="820" spans="1:27" ht="15" thickBot="1" x14ac:dyDescent="0.35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</row>
    <row r="821" spans="1:27" ht="15" thickBot="1" x14ac:dyDescent="0.35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</row>
    <row r="822" spans="1:27" ht="15" thickBot="1" x14ac:dyDescent="0.35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</row>
    <row r="823" spans="1:27" ht="15" thickBot="1" x14ac:dyDescent="0.35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</row>
    <row r="824" spans="1:27" ht="15" thickBot="1" x14ac:dyDescent="0.35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</row>
    <row r="825" spans="1:27" ht="15" thickBot="1" x14ac:dyDescent="0.3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</row>
    <row r="826" spans="1:27" ht="15" thickBot="1" x14ac:dyDescent="0.35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</row>
    <row r="827" spans="1:27" ht="15" thickBot="1" x14ac:dyDescent="0.35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</row>
    <row r="828" spans="1:27" ht="15" thickBot="1" x14ac:dyDescent="0.35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</row>
    <row r="829" spans="1:27" ht="15" thickBot="1" x14ac:dyDescent="0.35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</row>
    <row r="830" spans="1:27" ht="15" thickBot="1" x14ac:dyDescent="0.35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</row>
    <row r="831" spans="1:27" ht="15" thickBot="1" x14ac:dyDescent="0.35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</row>
    <row r="832" spans="1:27" ht="15" thickBot="1" x14ac:dyDescent="0.35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</row>
    <row r="833" spans="1:27" ht="15" thickBot="1" x14ac:dyDescent="0.35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</row>
    <row r="834" spans="1:27" ht="15" thickBot="1" x14ac:dyDescent="0.35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</row>
    <row r="835" spans="1:27" ht="15" thickBot="1" x14ac:dyDescent="0.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</row>
    <row r="836" spans="1:27" ht="15" thickBot="1" x14ac:dyDescent="0.35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</row>
    <row r="837" spans="1:27" ht="15" thickBot="1" x14ac:dyDescent="0.35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</row>
    <row r="838" spans="1:27" ht="15" thickBot="1" x14ac:dyDescent="0.35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</row>
    <row r="839" spans="1:27" ht="15" thickBot="1" x14ac:dyDescent="0.35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</row>
    <row r="840" spans="1:27" ht="15" thickBot="1" x14ac:dyDescent="0.35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</row>
    <row r="841" spans="1:27" ht="15" thickBot="1" x14ac:dyDescent="0.35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</row>
    <row r="842" spans="1:27" ht="15" thickBot="1" x14ac:dyDescent="0.35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</row>
    <row r="843" spans="1:27" ht="15" thickBot="1" x14ac:dyDescent="0.35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</row>
    <row r="844" spans="1:27" ht="15" thickBot="1" x14ac:dyDescent="0.35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</row>
    <row r="845" spans="1:27" ht="15" thickBot="1" x14ac:dyDescent="0.3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</row>
    <row r="846" spans="1:27" ht="15" thickBot="1" x14ac:dyDescent="0.35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</row>
    <row r="847" spans="1:27" ht="15" thickBot="1" x14ac:dyDescent="0.35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</row>
    <row r="848" spans="1:27" ht="15" thickBot="1" x14ac:dyDescent="0.35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</row>
    <row r="849" spans="1:27" ht="15" thickBot="1" x14ac:dyDescent="0.35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</row>
    <row r="850" spans="1:27" ht="15" thickBot="1" x14ac:dyDescent="0.35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</row>
    <row r="851" spans="1:27" ht="15" thickBot="1" x14ac:dyDescent="0.35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</row>
    <row r="852" spans="1:27" ht="15" thickBot="1" x14ac:dyDescent="0.35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</row>
    <row r="853" spans="1:27" ht="15" thickBot="1" x14ac:dyDescent="0.35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</row>
    <row r="854" spans="1:27" ht="15" thickBot="1" x14ac:dyDescent="0.35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</row>
    <row r="855" spans="1:27" ht="15" thickBot="1" x14ac:dyDescent="0.3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</row>
    <row r="856" spans="1:27" ht="15" thickBot="1" x14ac:dyDescent="0.35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</row>
    <row r="857" spans="1:27" ht="15" thickBot="1" x14ac:dyDescent="0.35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</row>
    <row r="858" spans="1:27" ht="15" thickBot="1" x14ac:dyDescent="0.35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</row>
    <row r="859" spans="1:27" ht="15" thickBot="1" x14ac:dyDescent="0.35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</row>
    <row r="860" spans="1:27" ht="15" thickBot="1" x14ac:dyDescent="0.35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</row>
    <row r="861" spans="1:27" ht="15" thickBot="1" x14ac:dyDescent="0.35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</row>
    <row r="862" spans="1:27" ht="15" thickBot="1" x14ac:dyDescent="0.35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</row>
    <row r="863" spans="1:27" ht="15" thickBot="1" x14ac:dyDescent="0.35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</row>
    <row r="864" spans="1:27" ht="15" thickBot="1" x14ac:dyDescent="0.35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</row>
    <row r="865" spans="1:27" ht="15" thickBot="1" x14ac:dyDescent="0.3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</row>
    <row r="866" spans="1:27" ht="15" thickBot="1" x14ac:dyDescent="0.35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</row>
    <row r="867" spans="1:27" ht="15" thickBot="1" x14ac:dyDescent="0.35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</row>
    <row r="868" spans="1:27" ht="15" thickBot="1" x14ac:dyDescent="0.35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</row>
    <row r="869" spans="1:27" ht="15" thickBot="1" x14ac:dyDescent="0.35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</row>
    <row r="870" spans="1:27" ht="15" thickBot="1" x14ac:dyDescent="0.35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</row>
    <row r="871" spans="1:27" ht="15" thickBot="1" x14ac:dyDescent="0.35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</row>
    <row r="872" spans="1:27" ht="15" thickBot="1" x14ac:dyDescent="0.35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</row>
    <row r="873" spans="1:27" ht="15" thickBot="1" x14ac:dyDescent="0.35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</row>
    <row r="874" spans="1:27" ht="15" thickBot="1" x14ac:dyDescent="0.35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</row>
    <row r="875" spans="1:27" ht="15" thickBot="1" x14ac:dyDescent="0.3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</row>
    <row r="876" spans="1:27" ht="15" thickBot="1" x14ac:dyDescent="0.35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</row>
    <row r="877" spans="1:27" ht="15" thickBot="1" x14ac:dyDescent="0.35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</row>
    <row r="878" spans="1:27" ht="15" thickBot="1" x14ac:dyDescent="0.35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</row>
    <row r="879" spans="1:27" ht="15" thickBot="1" x14ac:dyDescent="0.35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</row>
    <row r="880" spans="1:27" ht="15" thickBot="1" x14ac:dyDescent="0.35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</row>
    <row r="881" spans="1:27" ht="15" thickBot="1" x14ac:dyDescent="0.35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</row>
    <row r="882" spans="1:27" ht="15" thickBot="1" x14ac:dyDescent="0.35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</row>
    <row r="883" spans="1:27" ht="15" thickBot="1" x14ac:dyDescent="0.35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</row>
    <row r="884" spans="1:27" ht="15" thickBot="1" x14ac:dyDescent="0.35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</row>
    <row r="885" spans="1:27" ht="15" thickBot="1" x14ac:dyDescent="0.3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</row>
    <row r="886" spans="1:27" ht="15" thickBot="1" x14ac:dyDescent="0.35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</row>
    <row r="887" spans="1:27" ht="15" thickBot="1" x14ac:dyDescent="0.35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</row>
    <row r="888" spans="1:27" ht="15" thickBot="1" x14ac:dyDescent="0.35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</row>
    <row r="889" spans="1:27" ht="15" thickBot="1" x14ac:dyDescent="0.35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</row>
    <row r="890" spans="1:27" ht="15" thickBot="1" x14ac:dyDescent="0.35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</row>
    <row r="891" spans="1:27" ht="15" thickBot="1" x14ac:dyDescent="0.35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</row>
    <row r="892" spans="1:27" ht="15" thickBot="1" x14ac:dyDescent="0.35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</row>
    <row r="893" spans="1:27" ht="15" thickBot="1" x14ac:dyDescent="0.35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</row>
    <row r="894" spans="1:27" ht="15" thickBot="1" x14ac:dyDescent="0.35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</row>
    <row r="895" spans="1:27" ht="15" thickBot="1" x14ac:dyDescent="0.3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</row>
    <row r="896" spans="1:27" ht="15" thickBot="1" x14ac:dyDescent="0.35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</row>
    <row r="897" spans="1:27" ht="15" thickBot="1" x14ac:dyDescent="0.35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</row>
    <row r="898" spans="1:27" ht="15" thickBot="1" x14ac:dyDescent="0.35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</row>
    <row r="899" spans="1:27" ht="15" thickBot="1" x14ac:dyDescent="0.35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</row>
    <row r="900" spans="1:27" ht="15" thickBot="1" x14ac:dyDescent="0.35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</row>
    <row r="901" spans="1:27" ht="15" thickBot="1" x14ac:dyDescent="0.35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</row>
    <row r="902" spans="1:27" ht="15" thickBot="1" x14ac:dyDescent="0.35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</row>
    <row r="903" spans="1:27" ht="15" thickBot="1" x14ac:dyDescent="0.35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</row>
    <row r="904" spans="1:27" ht="15" thickBot="1" x14ac:dyDescent="0.35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</row>
    <row r="905" spans="1:27" ht="15" thickBot="1" x14ac:dyDescent="0.3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</row>
    <row r="906" spans="1:27" ht="15" thickBot="1" x14ac:dyDescent="0.35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</row>
    <row r="907" spans="1:27" ht="15" thickBot="1" x14ac:dyDescent="0.35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</row>
    <row r="908" spans="1:27" ht="15" thickBot="1" x14ac:dyDescent="0.35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</row>
    <row r="909" spans="1:27" ht="15" thickBot="1" x14ac:dyDescent="0.35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</row>
    <row r="910" spans="1:27" ht="15" thickBot="1" x14ac:dyDescent="0.35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</row>
    <row r="911" spans="1:27" ht="15" thickBot="1" x14ac:dyDescent="0.35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</row>
    <row r="912" spans="1:27" ht="15" thickBot="1" x14ac:dyDescent="0.35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</row>
    <row r="913" spans="1:27" ht="15" thickBot="1" x14ac:dyDescent="0.35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</row>
    <row r="914" spans="1:27" ht="15" thickBot="1" x14ac:dyDescent="0.35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</row>
    <row r="915" spans="1:27" ht="15" thickBot="1" x14ac:dyDescent="0.3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</row>
    <row r="916" spans="1:27" ht="15" thickBot="1" x14ac:dyDescent="0.35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</row>
    <row r="917" spans="1:27" ht="15" thickBot="1" x14ac:dyDescent="0.35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</row>
    <row r="918" spans="1:27" ht="15" thickBot="1" x14ac:dyDescent="0.35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</row>
    <row r="919" spans="1:27" ht="15" thickBot="1" x14ac:dyDescent="0.35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</row>
    <row r="920" spans="1:27" ht="15" thickBot="1" x14ac:dyDescent="0.35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</row>
    <row r="921" spans="1:27" ht="15" thickBot="1" x14ac:dyDescent="0.35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</row>
    <row r="922" spans="1:27" ht="15" thickBot="1" x14ac:dyDescent="0.35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</row>
    <row r="923" spans="1:27" ht="15" thickBot="1" x14ac:dyDescent="0.35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</row>
    <row r="924" spans="1:27" ht="15" thickBot="1" x14ac:dyDescent="0.35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</row>
    <row r="925" spans="1:27" ht="15" thickBot="1" x14ac:dyDescent="0.3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</row>
    <row r="926" spans="1:27" ht="15" thickBot="1" x14ac:dyDescent="0.35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</row>
    <row r="927" spans="1:27" ht="15" thickBot="1" x14ac:dyDescent="0.35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</row>
    <row r="928" spans="1:27" ht="15" thickBot="1" x14ac:dyDescent="0.35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</row>
    <row r="929" spans="1:27" ht="15" thickBot="1" x14ac:dyDescent="0.35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</row>
    <row r="930" spans="1:27" ht="15" thickBot="1" x14ac:dyDescent="0.35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</row>
    <row r="931" spans="1:27" ht="15" thickBot="1" x14ac:dyDescent="0.35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</row>
    <row r="932" spans="1:27" ht="15" thickBot="1" x14ac:dyDescent="0.35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</row>
    <row r="933" spans="1:27" ht="15" thickBot="1" x14ac:dyDescent="0.35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</row>
    <row r="934" spans="1:27" ht="15" thickBot="1" x14ac:dyDescent="0.35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</row>
    <row r="935" spans="1:27" ht="15" thickBot="1" x14ac:dyDescent="0.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</row>
    <row r="936" spans="1:27" ht="15" thickBot="1" x14ac:dyDescent="0.35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</row>
    <row r="937" spans="1:27" ht="15" thickBot="1" x14ac:dyDescent="0.35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</row>
    <row r="938" spans="1:27" ht="15" thickBot="1" x14ac:dyDescent="0.35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</row>
    <row r="939" spans="1:27" ht="15" thickBot="1" x14ac:dyDescent="0.35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</row>
    <row r="940" spans="1:27" ht="15" thickBot="1" x14ac:dyDescent="0.35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</row>
    <row r="941" spans="1:27" ht="15" thickBot="1" x14ac:dyDescent="0.35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</row>
    <row r="942" spans="1:27" ht="15" thickBot="1" x14ac:dyDescent="0.35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</row>
    <row r="943" spans="1:27" ht="15" thickBot="1" x14ac:dyDescent="0.35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</row>
    <row r="944" spans="1:27" ht="15" thickBot="1" x14ac:dyDescent="0.35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</row>
    <row r="945" spans="1:27" ht="15" thickBot="1" x14ac:dyDescent="0.3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</row>
    <row r="946" spans="1:27" ht="15" thickBot="1" x14ac:dyDescent="0.35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</row>
    <row r="947" spans="1:27" ht="15" thickBot="1" x14ac:dyDescent="0.35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</row>
    <row r="948" spans="1:27" ht="15" thickBot="1" x14ac:dyDescent="0.35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</row>
    <row r="949" spans="1:27" ht="15" thickBot="1" x14ac:dyDescent="0.35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</row>
    <row r="950" spans="1:27" ht="15" thickBot="1" x14ac:dyDescent="0.35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</row>
    <row r="951" spans="1:27" ht="15" thickBot="1" x14ac:dyDescent="0.35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</row>
    <row r="952" spans="1:27" ht="15" thickBot="1" x14ac:dyDescent="0.35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</row>
    <row r="953" spans="1:27" ht="15" thickBot="1" x14ac:dyDescent="0.35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</row>
    <row r="954" spans="1:27" ht="15" thickBot="1" x14ac:dyDescent="0.35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</row>
    <row r="955" spans="1:27" ht="15" thickBot="1" x14ac:dyDescent="0.3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</row>
    <row r="956" spans="1:27" ht="15" thickBot="1" x14ac:dyDescent="0.35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</row>
    <row r="957" spans="1:27" ht="15" thickBot="1" x14ac:dyDescent="0.35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</row>
    <row r="958" spans="1:27" ht="15" thickBot="1" x14ac:dyDescent="0.35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</row>
    <row r="959" spans="1:27" ht="15" thickBot="1" x14ac:dyDescent="0.35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</row>
    <row r="960" spans="1:27" ht="15" thickBot="1" x14ac:dyDescent="0.35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</row>
    <row r="961" spans="1:27" ht="15" thickBot="1" x14ac:dyDescent="0.35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</row>
    <row r="962" spans="1:27" ht="15" thickBot="1" x14ac:dyDescent="0.35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</row>
    <row r="963" spans="1:27" ht="15" thickBot="1" x14ac:dyDescent="0.35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</row>
    <row r="964" spans="1:27" ht="15" thickBot="1" x14ac:dyDescent="0.35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</row>
    <row r="965" spans="1:27" ht="15" thickBot="1" x14ac:dyDescent="0.3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</row>
    <row r="966" spans="1:27" ht="15" thickBot="1" x14ac:dyDescent="0.35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</row>
    <row r="967" spans="1:27" ht="15" thickBot="1" x14ac:dyDescent="0.35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</row>
    <row r="968" spans="1:27" ht="15" thickBot="1" x14ac:dyDescent="0.35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</row>
    <row r="969" spans="1:27" ht="15" thickBot="1" x14ac:dyDescent="0.35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</row>
    <row r="970" spans="1:27" ht="15" thickBot="1" x14ac:dyDescent="0.35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</row>
    <row r="971" spans="1:27" ht="15" thickBot="1" x14ac:dyDescent="0.35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</row>
    <row r="972" spans="1:27" ht="15" thickBot="1" x14ac:dyDescent="0.35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</row>
    <row r="973" spans="1:27" ht="15" thickBot="1" x14ac:dyDescent="0.35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</row>
    <row r="974" spans="1:27" ht="15" thickBot="1" x14ac:dyDescent="0.35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</row>
    <row r="975" spans="1:27" ht="15" thickBot="1" x14ac:dyDescent="0.3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</row>
    <row r="976" spans="1:27" ht="15" thickBot="1" x14ac:dyDescent="0.35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</row>
    <row r="977" spans="1:27" ht="15" thickBot="1" x14ac:dyDescent="0.35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</row>
    <row r="978" spans="1:27" ht="15" thickBot="1" x14ac:dyDescent="0.35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</row>
    <row r="979" spans="1:27" ht="15" thickBot="1" x14ac:dyDescent="0.35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</row>
  </sheetData>
  <mergeCells count="1">
    <mergeCell ref="F1:Z1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RELATORIO CONTROLADORIA</vt:lpstr>
      <vt:lpstr>FDT</vt:lpstr>
      <vt:lpstr>TABELA DE 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Souto</dc:creator>
  <cp:lastModifiedBy>Alan Souto</cp:lastModifiedBy>
  <dcterms:created xsi:type="dcterms:W3CDTF">2026-03-12T13:58:31Z</dcterms:created>
  <dcterms:modified xsi:type="dcterms:W3CDTF">2026-09-15T17:19:08Z</dcterms:modified>
</cp:coreProperties>
</file>